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UBBID PEP\2026\EVALUASI RKPD 2026\"/>
    </mc:Choice>
  </mc:AlternateContent>
  <xr:revisionPtr revIDLastSave="0" documentId="8_{7DCBDBC3-C1D4-4A24-83E6-8ED6AEA98758}" xr6:coauthVersionLast="47" xr6:coauthVersionMax="47" xr10:uidLastSave="{00000000-0000-0000-0000-000000000000}"/>
  <bookViews>
    <workbookView xWindow="-120" yWindow="-120" windowWidth="29040" windowHeight="15840" xr2:uid="{A072B907-B4D3-4326-BC69-1F51054F3C05}"/>
  </bookViews>
  <sheets>
    <sheet name="Realisasi TW IV" sheetId="1" r:id="rId1"/>
  </sheets>
  <definedNames>
    <definedName name="_xlnm.Print_Titles" localSheetId="0">'Realisasi TW IV'!$6:$9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0" i="1" l="1"/>
  <c r="K108" i="1"/>
  <c r="AE105" i="1"/>
  <c r="AG105" i="1" s="1"/>
  <c r="AC105" i="1"/>
  <c r="P105" i="1"/>
  <c r="AH104" i="1"/>
  <c r="AE104" i="1"/>
  <c r="AG104" i="1" s="1"/>
  <c r="AD104" i="1"/>
  <c r="AF104" i="1" s="1"/>
  <c r="AC104" i="1"/>
  <c r="Y104" i="1"/>
  <c r="AB104" i="1" s="1"/>
  <c r="AC103" i="1"/>
  <c r="AA103" i="1"/>
  <c r="Z103" i="1"/>
  <c r="X103" i="1"/>
  <c r="W103" i="1"/>
  <c r="U103" i="1"/>
  <c r="T103" i="1"/>
  <c r="R103" i="1"/>
  <c r="Q103" i="1"/>
  <c r="O103" i="1"/>
  <c r="M103" i="1"/>
  <c r="K103" i="1"/>
  <c r="K97" i="1" s="1"/>
  <c r="K96" i="1" s="1"/>
  <c r="Y102" i="1"/>
  <c r="AB102" i="1" s="1"/>
  <c r="AD102" i="1" s="1"/>
  <c r="AF102" i="1" s="1"/>
  <c r="U102" i="1"/>
  <c r="AH102" i="1" s="1"/>
  <c r="AA101" i="1"/>
  <c r="AA97" i="1" s="1"/>
  <c r="AA96" i="1" s="1"/>
  <c r="Z101" i="1"/>
  <c r="X101" i="1"/>
  <c r="W101" i="1"/>
  <c r="U101" i="1"/>
  <c r="T101" i="1"/>
  <c r="R101" i="1"/>
  <c r="Q101" i="1"/>
  <c r="P101" i="1" s="1"/>
  <c r="O101" i="1"/>
  <c r="M101" i="1"/>
  <c r="K101" i="1"/>
  <c r="AG100" i="1"/>
  <c r="AC100" i="1"/>
  <c r="AE100" i="1" s="1"/>
  <c r="Y100" i="1"/>
  <c r="AB100" i="1" s="1"/>
  <c r="AD100" i="1" s="1"/>
  <c r="AF100" i="1" s="1"/>
  <c r="U100" i="1"/>
  <c r="AH100" i="1" s="1"/>
  <c r="AH99" i="1"/>
  <c r="AD99" i="1"/>
  <c r="AF99" i="1" s="1"/>
  <c r="Y99" i="1"/>
  <c r="AB99" i="1" s="1"/>
  <c r="U99" i="1"/>
  <c r="AA98" i="1"/>
  <c r="Z98" i="1"/>
  <c r="X98" i="1"/>
  <c r="W98" i="1"/>
  <c r="T98" i="1"/>
  <c r="R98" i="1"/>
  <c r="R97" i="1" s="1"/>
  <c r="Q98" i="1"/>
  <c r="P98" i="1"/>
  <c r="O98" i="1"/>
  <c r="M98" i="1"/>
  <c r="K98" i="1"/>
  <c r="X97" i="1"/>
  <c r="W97" i="1"/>
  <c r="T97" i="1"/>
  <c r="O97" i="1"/>
  <c r="O96" i="1" s="1"/>
  <c r="AF96" i="1"/>
  <c r="AB96" i="1"/>
  <c r="AD96" i="1" s="1"/>
  <c r="X96" i="1"/>
  <c r="R96" i="1"/>
  <c r="AG95" i="1"/>
  <c r="AC95" i="1"/>
  <c r="AE95" i="1" s="1"/>
  <c r="S95" i="1"/>
  <c r="P95" i="1"/>
  <c r="AE94" i="1"/>
  <c r="AG94" i="1" s="1"/>
  <c r="AC94" i="1"/>
  <c r="S94" i="1"/>
  <c r="P94" i="1"/>
  <c r="V94" i="1" s="1"/>
  <c r="Y94" i="1" s="1"/>
  <c r="AA93" i="1"/>
  <c r="Z93" i="1"/>
  <c r="X93" i="1"/>
  <c r="W93" i="1"/>
  <c r="U93" i="1"/>
  <c r="U92" i="1" s="1"/>
  <c r="U91" i="1" s="1"/>
  <c r="T93" i="1"/>
  <c r="R93" i="1"/>
  <c r="Q93" i="1"/>
  <c r="O93" i="1"/>
  <c r="M93" i="1"/>
  <c r="K93" i="1"/>
  <c r="K92" i="1" s="1"/>
  <c r="K91" i="1" s="1"/>
  <c r="AA92" i="1"/>
  <c r="Z92" i="1"/>
  <c r="X92" i="1"/>
  <c r="W92" i="1"/>
  <c r="T92" i="1"/>
  <c r="R92" i="1"/>
  <c r="R91" i="1" s="1"/>
  <c r="O92" i="1"/>
  <c r="M92" i="1"/>
  <c r="AD91" i="1"/>
  <c r="AF91" i="1" s="1"/>
  <c r="AA91" i="1"/>
  <c r="X91" i="1"/>
  <c r="O91" i="1"/>
  <c r="AB88" i="1"/>
  <c r="AD88" i="1" s="1"/>
  <c r="AF88" i="1" s="1"/>
  <c r="U88" i="1"/>
  <c r="AH88" i="1" s="1"/>
  <c r="AB87" i="1"/>
  <c r="AD87" i="1" s="1"/>
  <c r="AF87" i="1" s="1"/>
  <c r="Y87" i="1"/>
  <c r="U87" i="1"/>
  <c r="AH87" i="1" s="1"/>
  <c r="Y86" i="1"/>
  <c r="AH85" i="1"/>
  <c r="AC85" i="1"/>
  <c r="AE85" i="1" s="1"/>
  <c r="AG85" i="1" s="1"/>
  <c r="V85" i="1"/>
  <c r="S85" i="1"/>
  <c r="P85" i="1"/>
  <c r="AA84" i="1"/>
  <c r="Z84" i="1"/>
  <c r="X84" i="1"/>
  <c r="W84" i="1"/>
  <c r="U84" i="1"/>
  <c r="T84" i="1"/>
  <c r="S84" i="1" s="1"/>
  <c r="R84" i="1"/>
  <c r="Q84" i="1"/>
  <c r="P84" i="1"/>
  <c r="O84" i="1"/>
  <c r="M84" i="1"/>
  <c r="K84" i="1"/>
  <c r="AH83" i="1"/>
  <c r="AD83" i="1"/>
  <c r="AF83" i="1" s="1"/>
  <c r="AB83" i="1"/>
  <c r="U83" i="1"/>
  <c r="AC83" i="1" s="1"/>
  <c r="AE83" i="1" s="1"/>
  <c r="AG83" i="1" s="1"/>
  <c r="AC82" i="1"/>
  <c r="AE82" i="1" s="1"/>
  <c r="AG82" i="1" s="1"/>
  <c r="P82" i="1"/>
  <c r="AH81" i="1"/>
  <c r="AE81" i="1"/>
  <c r="AG81" i="1" s="1"/>
  <c r="AC81" i="1"/>
  <c r="AB81" i="1"/>
  <c r="AD81" i="1" s="1"/>
  <c r="AF81" i="1" s="1"/>
  <c r="AH80" i="1"/>
  <c r="AD80" i="1"/>
  <c r="AF80" i="1" s="1"/>
  <c r="AB80" i="1"/>
  <c r="U80" i="1"/>
  <c r="AC80" i="1" s="1"/>
  <c r="AE80" i="1" s="1"/>
  <c r="AG80" i="1" s="1"/>
  <c r="AC79" i="1"/>
  <c r="AE79" i="1" s="1"/>
  <c r="AG79" i="1" s="1"/>
  <c r="S79" i="1"/>
  <c r="V79" i="1" s="1"/>
  <c r="P79" i="1"/>
  <c r="AB78" i="1"/>
  <c r="AD78" i="1" s="1"/>
  <c r="AF78" i="1" s="1"/>
  <c r="U78" i="1"/>
  <c r="AH78" i="1" s="1"/>
  <c r="AA77" i="1"/>
  <c r="Z77" i="1"/>
  <c r="X77" i="1"/>
  <c r="W77" i="1"/>
  <c r="U77" i="1"/>
  <c r="T77" i="1"/>
  <c r="S77" i="1"/>
  <c r="R77" i="1"/>
  <c r="Q77" i="1"/>
  <c r="P77" i="1"/>
  <c r="O77" i="1"/>
  <c r="M77" i="1"/>
  <c r="K77" i="1"/>
  <c r="AC76" i="1"/>
  <c r="AE76" i="1" s="1"/>
  <c r="AG76" i="1" s="1"/>
  <c r="U76" i="1"/>
  <c r="S76" i="1"/>
  <c r="P76" i="1"/>
  <c r="AH75" i="1"/>
  <c r="AG75" i="1"/>
  <c r="AC75" i="1"/>
  <c r="AE75" i="1" s="1"/>
  <c r="AB75" i="1"/>
  <c r="AD75" i="1" s="1"/>
  <c r="AF75" i="1" s="1"/>
  <c r="AH74" i="1"/>
  <c r="AC74" i="1"/>
  <c r="AE74" i="1" s="1"/>
  <c r="AG74" i="1" s="1"/>
  <c r="V74" i="1"/>
  <c r="Y74" i="1" s="1"/>
  <c r="AB74" i="1" s="1"/>
  <c r="AD74" i="1" s="1"/>
  <c r="AF74" i="1" s="1"/>
  <c r="AH73" i="1"/>
  <c r="AC73" i="1"/>
  <c r="AE73" i="1" s="1"/>
  <c r="AG73" i="1" s="1"/>
  <c r="AB73" i="1"/>
  <c r="AD73" i="1" s="1"/>
  <c r="AF73" i="1" s="1"/>
  <c r="AF72" i="1"/>
  <c r="AB72" i="1"/>
  <c r="AD72" i="1" s="1"/>
  <c r="U72" i="1"/>
  <c r="AH72" i="1" s="1"/>
  <c r="AA71" i="1"/>
  <c r="AA70" i="1" s="1"/>
  <c r="Z71" i="1"/>
  <c r="X71" i="1"/>
  <c r="W71" i="1"/>
  <c r="T71" i="1"/>
  <c r="R71" i="1"/>
  <c r="Q71" i="1"/>
  <c r="P71" i="1" s="1"/>
  <c r="O71" i="1"/>
  <c r="M71" i="1"/>
  <c r="K71" i="1"/>
  <c r="Z70" i="1"/>
  <c r="X70" i="1"/>
  <c r="T70" i="1"/>
  <c r="S70" i="1" s="1"/>
  <c r="R70" i="1"/>
  <c r="Q70" i="1"/>
  <c r="P70" i="1"/>
  <c r="M70" i="1"/>
  <c r="K70" i="1"/>
  <c r="AD69" i="1"/>
  <c r="AF69" i="1" s="1"/>
  <c r="AB69" i="1"/>
  <c r="Y69" i="1"/>
  <c r="U69" i="1"/>
  <c r="AD68" i="1"/>
  <c r="AF68" i="1" s="1"/>
  <c r="AC68" i="1"/>
  <c r="AE68" i="1" s="1"/>
  <c r="AG68" i="1" s="1"/>
  <c r="AB68" i="1"/>
  <c r="AA67" i="1"/>
  <c r="Z67" i="1"/>
  <c r="X67" i="1"/>
  <c r="W67" i="1"/>
  <c r="T67" i="1"/>
  <c r="S67" i="1" s="1"/>
  <c r="R67" i="1"/>
  <c r="Q67" i="1"/>
  <c r="P67" i="1"/>
  <c r="O67" i="1"/>
  <c r="M67" i="1"/>
  <c r="K67" i="1"/>
  <c r="AC66" i="1"/>
  <c r="S66" i="1"/>
  <c r="P66" i="1"/>
  <c r="AH65" i="1"/>
  <c r="AF65" i="1"/>
  <c r="AB65" i="1"/>
  <c r="AD65" i="1" s="1"/>
  <c r="U65" i="1"/>
  <c r="AC65" i="1" s="1"/>
  <c r="AE65" i="1" s="1"/>
  <c r="AG65" i="1" s="1"/>
  <c r="AA64" i="1"/>
  <c r="Z64" i="1"/>
  <c r="X64" i="1"/>
  <c r="W64" i="1"/>
  <c r="U64" i="1"/>
  <c r="T64" i="1"/>
  <c r="R64" i="1"/>
  <c r="Q64" i="1"/>
  <c r="P64" i="1" s="1"/>
  <c r="O64" i="1"/>
  <c r="M64" i="1"/>
  <c r="K64" i="1"/>
  <c r="AH63" i="1"/>
  <c r="AE63" i="1"/>
  <c r="AG63" i="1" s="1"/>
  <c r="AC63" i="1"/>
  <c r="V63" i="1"/>
  <c r="Y63" i="1" s="1"/>
  <c r="S63" i="1"/>
  <c r="P63" i="1"/>
  <c r="AH62" i="1"/>
  <c r="AG62" i="1"/>
  <c r="AC62" i="1"/>
  <c r="AE62" i="1" s="1"/>
  <c r="S62" i="1"/>
  <c r="V62" i="1" s="1"/>
  <c r="P62" i="1"/>
  <c r="AE61" i="1"/>
  <c r="AG61" i="1" s="1"/>
  <c r="AC61" i="1"/>
  <c r="P61" i="1"/>
  <c r="AH60" i="1"/>
  <c r="AE60" i="1"/>
  <c r="AG60" i="1" s="1"/>
  <c r="AC60" i="1"/>
  <c r="V60" i="1"/>
  <c r="Y60" i="1" s="1"/>
  <c r="S60" i="1"/>
  <c r="P60" i="1"/>
  <c r="AH59" i="1"/>
  <c r="AG59" i="1"/>
  <c r="AC59" i="1"/>
  <c r="AE59" i="1" s="1"/>
  <c r="S59" i="1"/>
  <c r="V59" i="1" s="1"/>
  <c r="P59" i="1"/>
  <c r="AH58" i="1"/>
  <c r="AC58" i="1"/>
  <c r="AE58" i="1" s="1"/>
  <c r="AG58" i="1" s="1"/>
  <c r="AB58" i="1"/>
  <c r="AD58" i="1" s="1"/>
  <c r="AF58" i="1" s="1"/>
  <c r="Y58" i="1"/>
  <c r="AE57" i="1"/>
  <c r="AG57" i="1" s="1"/>
  <c r="AC57" i="1"/>
  <c r="P57" i="1"/>
  <c r="AC56" i="1"/>
  <c r="AA56" i="1"/>
  <c r="Z56" i="1"/>
  <c r="X56" i="1"/>
  <c r="X55" i="1" s="1"/>
  <c r="W56" i="1"/>
  <c r="U56" i="1"/>
  <c r="T56" i="1"/>
  <c r="R56" i="1"/>
  <c r="Q56" i="1"/>
  <c r="O56" i="1"/>
  <c r="M56" i="1"/>
  <c r="AE56" i="1" s="1"/>
  <c r="AG56" i="1" s="1"/>
  <c r="K56" i="1"/>
  <c r="K55" i="1" s="1"/>
  <c r="AA55" i="1"/>
  <c r="Z55" i="1"/>
  <c r="W55" i="1"/>
  <c r="R55" i="1"/>
  <c r="O55" i="1"/>
  <c r="M55" i="1"/>
  <c r="U54" i="1"/>
  <c r="AH54" i="1" s="1"/>
  <c r="S54" i="1"/>
  <c r="P54" i="1"/>
  <c r="AE53" i="1"/>
  <c r="AG53" i="1" s="1"/>
  <c r="AC53" i="1"/>
  <c r="V53" i="1"/>
  <c r="AB53" i="1" s="1"/>
  <c r="AD53" i="1" s="1"/>
  <c r="AF53" i="1" s="1"/>
  <c r="P53" i="1"/>
  <c r="U52" i="1"/>
  <c r="AH52" i="1" s="1"/>
  <c r="S52" i="1"/>
  <c r="P52" i="1"/>
  <c r="AF51" i="1"/>
  <c r="AE51" i="1"/>
  <c r="AG51" i="1" s="1"/>
  <c r="AD51" i="1"/>
  <c r="AC51" i="1"/>
  <c r="S51" i="1"/>
  <c r="Y51" i="1" s="1"/>
  <c r="P51" i="1"/>
  <c r="AB50" i="1"/>
  <c r="AD50" i="1" s="1"/>
  <c r="AF50" i="1" s="1"/>
  <c r="Y50" i="1"/>
  <c r="V50" i="1"/>
  <c r="U50" i="1"/>
  <c r="AH50" i="1" s="1"/>
  <c r="AA49" i="1"/>
  <c r="Z49" i="1"/>
  <c r="X49" i="1"/>
  <c r="W49" i="1"/>
  <c r="U49" i="1"/>
  <c r="T49" i="1"/>
  <c r="S49" i="1" s="1"/>
  <c r="R49" i="1"/>
  <c r="Q49" i="1"/>
  <c r="P49" i="1" s="1"/>
  <c r="O49" i="1"/>
  <c r="M49" i="1"/>
  <c r="K49" i="1"/>
  <c r="AB48" i="1"/>
  <c r="AD48" i="1" s="1"/>
  <c r="AF48" i="1" s="1"/>
  <c r="U48" i="1"/>
  <c r="Y47" i="1"/>
  <c r="AB47" i="1" s="1"/>
  <c r="AD47" i="1" s="1"/>
  <c r="AF47" i="1" s="1"/>
  <c r="U47" i="1"/>
  <c r="AH47" i="1" s="1"/>
  <c r="AH46" i="1"/>
  <c r="AC46" i="1"/>
  <c r="AE46" i="1" s="1"/>
  <c r="AG46" i="1" s="1"/>
  <c r="AB46" i="1"/>
  <c r="AD46" i="1" s="1"/>
  <c r="AF46" i="1" s="1"/>
  <c r="AA45" i="1"/>
  <c r="Z45" i="1"/>
  <c r="X45" i="1"/>
  <c r="W45" i="1"/>
  <c r="T45" i="1"/>
  <c r="R45" i="1"/>
  <c r="Q45" i="1"/>
  <c r="P45" i="1" s="1"/>
  <c r="O45" i="1"/>
  <c r="M45" i="1"/>
  <c r="K45" i="1"/>
  <c r="AE44" i="1"/>
  <c r="AG44" i="1" s="1"/>
  <c r="AC44" i="1"/>
  <c r="Y44" i="1"/>
  <c r="AB44" i="1" s="1"/>
  <c r="AD44" i="1" s="1"/>
  <c r="AF44" i="1" s="1"/>
  <c r="V44" i="1"/>
  <c r="S44" i="1"/>
  <c r="AH42" i="1"/>
  <c r="AC42" i="1"/>
  <c r="S42" i="1"/>
  <c r="AA39" i="1"/>
  <c r="Z39" i="1"/>
  <c r="X39" i="1"/>
  <c r="W39" i="1"/>
  <c r="U39" i="1"/>
  <c r="T39" i="1"/>
  <c r="R39" i="1"/>
  <c r="Q39" i="1"/>
  <c r="P39" i="1" s="1"/>
  <c r="O39" i="1"/>
  <c r="M39" i="1"/>
  <c r="K39" i="1"/>
  <c r="AH38" i="1"/>
  <c r="AC38" i="1"/>
  <c r="AE38" i="1" s="1"/>
  <c r="AG38" i="1" s="1"/>
  <c r="S38" i="1"/>
  <c r="P38" i="1"/>
  <c r="AH37" i="1"/>
  <c r="AE37" i="1"/>
  <c r="AG37" i="1" s="1"/>
  <c r="U37" i="1"/>
  <c r="AC37" i="1" s="1"/>
  <c r="S37" i="1"/>
  <c r="P37" i="1"/>
  <c r="AF36" i="1"/>
  <c r="AB36" i="1"/>
  <c r="AD36" i="1" s="1"/>
  <c r="U36" i="1"/>
  <c r="AH35" i="1"/>
  <c r="AE35" i="1"/>
  <c r="AG35" i="1" s="1"/>
  <c r="AC35" i="1"/>
  <c r="P35" i="1"/>
  <c r="AD34" i="1"/>
  <c r="AF34" i="1" s="1"/>
  <c r="AB34" i="1"/>
  <c r="U34" i="1"/>
  <c r="AC34" i="1" s="1"/>
  <c r="AE34" i="1" s="1"/>
  <c r="AG34" i="1" s="1"/>
  <c r="AD33" i="1"/>
  <c r="AF33" i="1" s="1"/>
  <c r="Y33" i="1"/>
  <c r="AB33" i="1" s="1"/>
  <c r="U33" i="1"/>
  <c r="AH33" i="1" s="1"/>
  <c r="AH32" i="1"/>
  <c r="AE32" i="1"/>
  <c r="AG32" i="1" s="1"/>
  <c r="AC32" i="1"/>
  <c r="Y32" i="1"/>
  <c r="V32" i="1"/>
  <c r="AB32" i="1" s="1"/>
  <c r="AD32" i="1" s="1"/>
  <c r="AF32" i="1" s="1"/>
  <c r="AG31" i="1"/>
  <c r="AE31" i="1"/>
  <c r="AC31" i="1"/>
  <c r="AB31" i="1"/>
  <c r="AD31" i="1" s="1"/>
  <c r="AF31" i="1" s="1"/>
  <c r="U31" i="1"/>
  <c r="AH31" i="1" s="1"/>
  <c r="AA30" i="1"/>
  <c r="Z30" i="1"/>
  <c r="X30" i="1"/>
  <c r="W30" i="1"/>
  <c r="U30" i="1"/>
  <c r="T30" i="1"/>
  <c r="R30" i="1"/>
  <c r="Q30" i="1"/>
  <c r="P30" i="1" s="1"/>
  <c r="O30" i="1"/>
  <c r="M30" i="1"/>
  <c r="K30" i="1"/>
  <c r="K13" i="1" s="1"/>
  <c r="K12" i="1" s="1"/>
  <c r="AE29" i="1"/>
  <c r="AG29" i="1" s="1"/>
  <c r="AC29" i="1"/>
  <c r="P29" i="1"/>
  <c r="S29" i="1" s="1"/>
  <c r="V29" i="1" s="1"/>
  <c r="AC28" i="1"/>
  <c r="AE28" i="1" s="1"/>
  <c r="AG28" i="1" s="1"/>
  <c r="P28" i="1"/>
  <c r="AA27" i="1"/>
  <c r="Z27" i="1"/>
  <c r="X27" i="1"/>
  <c r="W27" i="1"/>
  <c r="U27" i="1"/>
  <c r="T27" i="1"/>
  <c r="S27" i="1" s="1"/>
  <c r="V27" i="1" s="1"/>
  <c r="R27" i="1"/>
  <c r="Q27" i="1"/>
  <c r="P27" i="1"/>
  <c r="O27" i="1"/>
  <c r="M27" i="1"/>
  <c r="K27" i="1"/>
  <c r="AH26" i="1"/>
  <c r="AC26" i="1"/>
  <c r="AE26" i="1" s="1"/>
  <c r="AG26" i="1" s="1"/>
  <c r="AB26" i="1"/>
  <c r="AD26" i="1" s="1"/>
  <c r="AF26" i="1" s="1"/>
  <c r="U26" i="1"/>
  <c r="AE25" i="1"/>
  <c r="AG25" i="1" s="1"/>
  <c r="AC25" i="1"/>
  <c r="P25" i="1"/>
  <c r="S25" i="1" s="1"/>
  <c r="Y25" i="1" s="1"/>
  <c r="AD24" i="1"/>
  <c r="AF24" i="1" s="1"/>
  <c r="AC24" i="1"/>
  <c r="AE24" i="1" s="1"/>
  <c r="AG24" i="1" s="1"/>
  <c r="AB24" i="1"/>
  <c r="U24" i="1"/>
  <c r="AH24" i="1" s="1"/>
  <c r="U23" i="1"/>
  <c r="AC23" i="1" s="1"/>
  <c r="P23" i="1"/>
  <c r="AA22" i="1"/>
  <c r="Z22" i="1"/>
  <c r="X22" i="1"/>
  <c r="W22" i="1"/>
  <c r="T22" i="1"/>
  <c r="S22" i="1" s="1"/>
  <c r="R22" i="1"/>
  <c r="Q22" i="1"/>
  <c r="P22" i="1"/>
  <c r="O22" i="1"/>
  <c r="M22" i="1"/>
  <c r="K22" i="1"/>
  <c r="AH21" i="1"/>
  <c r="AE21" i="1"/>
  <c r="AG21" i="1" s="1"/>
  <c r="AC21" i="1"/>
  <c r="P21" i="1"/>
  <c r="S21" i="1" s="1"/>
  <c r="V21" i="1" s="1"/>
  <c r="U20" i="1"/>
  <c r="AC20" i="1" s="1"/>
  <c r="AE20" i="1" s="1"/>
  <c r="AG20" i="1" s="1"/>
  <c r="P20" i="1"/>
  <c r="AH19" i="1"/>
  <c r="AC19" i="1"/>
  <c r="AE19" i="1" s="1"/>
  <c r="AG19" i="1" s="1"/>
  <c r="S19" i="1"/>
  <c r="P19" i="1"/>
  <c r="AH18" i="1"/>
  <c r="AC18" i="1"/>
  <c r="AE18" i="1" s="1"/>
  <c r="AG18" i="1" s="1"/>
  <c r="P18" i="1"/>
  <c r="AH17" i="1"/>
  <c r="AE17" i="1"/>
  <c r="AG17" i="1" s="1"/>
  <c r="AC17" i="1"/>
  <c r="P17" i="1"/>
  <c r="V17" i="1" s="1"/>
  <c r="Y17" i="1" s="1"/>
  <c r="AH16" i="1"/>
  <c r="AC16" i="1"/>
  <c r="AE16" i="1" s="1"/>
  <c r="AG16" i="1" s="1"/>
  <c r="Y16" i="1"/>
  <c r="AB16" i="1" s="1"/>
  <c r="AD16" i="1" s="1"/>
  <c r="AF16" i="1" s="1"/>
  <c r="U15" i="1"/>
  <c r="U14" i="1" s="1"/>
  <c r="P15" i="1"/>
  <c r="AA14" i="1"/>
  <c r="Z14" i="1"/>
  <c r="Y14" i="1" s="1"/>
  <c r="X14" i="1"/>
  <c r="X13" i="1" s="1"/>
  <c r="X12" i="1" s="1"/>
  <c r="W14" i="1"/>
  <c r="T14" i="1"/>
  <c r="S14" i="1" s="1"/>
  <c r="V14" i="1" s="1"/>
  <c r="R14" i="1"/>
  <c r="R13" i="1" s="1"/>
  <c r="R12" i="1" s="1"/>
  <c r="Q14" i="1"/>
  <c r="P14" i="1"/>
  <c r="O14" i="1"/>
  <c r="M14" i="1"/>
  <c r="K14" i="1"/>
  <c r="AA13" i="1"/>
  <c r="AA12" i="1" s="1"/>
  <c r="W13" i="1"/>
  <c r="O13" i="1"/>
  <c r="AF12" i="1"/>
  <c r="AD12" i="1"/>
  <c r="AF11" i="1"/>
  <c r="AD11" i="1"/>
  <c r="AA113" i="1" l="1"/>
  <c r="AA11" i="1"/>
  <c r="R113" i="1"/>
  <c r="R11" i="1"/>
  <c r="AE23" i="1"/>
  <c r="AG23" i="1" s="1"/>
  <c r="AC22" i="1"/>
  <c r="K113" i="1"/>
  <c r="K11" i="1"/>
  <c r="M13" i="1"/>
  <c r="AE22" i="1"/>
  <c r="AG22" i="1" s="1"/>
  <c r="AB14" i="1"/>
  <c r="Y27" i="1"/>
  <c r="AB27" i="1" s="1"/>
  <c r="AD27" i="1" s="1"/>
  <c r="AF27" i="1" s="1"/>
  <c r="S30" i="1"/>
  <c r="V30" i="1" s="1"/>
  <c r="Y22" i="1"/>
  <c r="AB22" i="1" s="1"/>
  <c r="AD22" i="1" s="1"/>
  <c r="AF22" i="1" s="1"/>
  <c r="X113" i="1"/>
  <c r="X11" i="1"/>
  <c r="V22" i="1"/>
  <c r="AC15" i="1"/>
  <c r="AE39" i="1"/>
  <c r="AG39" i="1" s="1"/>
  <c r="AE66" i="1"/>
  <c r="AG66" i="1" s="1"/>
  <c r="AC64" i="1"/>
  <c r="M91" i="1"/>
  <c r="T13" i="1"/>
  <c r="AH15" i="1"/>
  <c r="AB17" i="1"/>
  <c r="AD17" i="1" s="1"/>
  <c r="AF17" i="1" s="1"/>
  <c r="S18" i="1"/>
  <c r="V19" i="1"/>
  <c r="AH20" i="1"/>
  <c r="Y21" i="1"/>
  <c r="AB21" i="1" s="1"/>
  <c r="AD21" i="1" s="1"/>
  <c r="AF21" i="1" s="1"/>
  <c r="U22" i="1"/>
  <c r="U13" i="1" s="1"/>
  <c r="AH23" i="1"/>
  <c r="AB25" i="1"/>
  <c r="AD25" i="1" s="1"/>
  <c r="AF25" i="1" s="1"/>
  <c r="S28" i="1"/>
  <c r="Y29" i="1"/>
  <c r="AH34" i="1"/>
  <c r="AH36" i="1"/>
  <c r="AC36" i="1"/>
  <c r="AE36" i="1" s="1"/>
  <c r="AG36" i="1" s="1"/>
  <c r="V37" i="1"/>
  <c r="Y37" i="1" s="1"/>
  <c r="AB37" i="1"/>
  <c r="AD37" i="1" s="1"/>
  <c r="AF37" i="1" s="1"/>
  <c r="Y38" i="1"/>
  <c r="AB38" i="1" s="1"/>
  <c r="AD38" i="1" s="1"/>
  <c r="AF38" i="1" s="1"/>
  <c r="V38" i="1"/>
  <c r="AC39" i="1"/>
  <c r="AE42" i="1"/>
  <c r="AG42" i="1" s="1"/>
  <c r="P56" i="1"/>
  <c r="Q55" i="1"/>
  <c r="P55" i="1" s="1"/>
  <c r="AB59" i="1"/>
  <c r="AD59" i="1" s="1"/>
  <c r="AF59" i="1" s="1"/>
  <c r="P103" i="1"/>
  <c r="Q97" i="1"/>
  <c r="P97" i="1" s="1"/>
  <c r="AH48" i="1"/>
  <c r="U45" i="1"/>
  <c r="AC48" i="1"/>
  <c r="AE48" i="1" s="1"/>
  <c r="AG48" i="1" s="1"/>
  <c r="S64" i="1"/>
  <c r="V64" i="1"/>
  <c r="V18" i="1"/>
  <c r="AB29" i="1"/>
  <c r="AD29" i="1" s="1"/>
  <c r="AF29" i="1" s="1"/>
  <c r="S35" i="1"/>
  <c r="S39" i="1"/>
  <c r="V39" i="1" s="1"/>
  <c r="V49" i="1"/>
  <c r="Y49" i="1" s="1"/>
  <c r="AB49" i="1" s="1"/>
  <c r="AD49" i="1" s="1"/>
  <c r="AF49" i="1" s="1"/>
  <c r="AB60" i="1"/>
  <c r="AD60" i="1" s="1"/>
  <c r="AF60" i="1" s="1"/>
  <c r="AB63" i="1"/>
  <c r="AD63" i="1" s="1"/>
  <c r="AF63" i="1" s="1"/>
  <c r="W70" i="1"/>
  <c r="V70" i="1" s="1"/>
  <c r="AB70" i="1" s="1"/>
  <c r="AD70" i="1" s="1"/>
  <c r="AF70" i="1" s="1"/>
  <c r="Y42" i="1"/>
  <c r="AB42" i="1" s="1"/>
  <c r="AD42" i="1" s="1"/>
  <c r="AF42" i="1" s="1"/>
  <c r="V42" i="1"/>
  <c r="S45" i="1"/>
  <c r="Y52" i="1"/>
  <c r="Q13" i="1"/>
  <c r="P13" i="1" s="1"/>
  <c r="Z13" i="1"/>
  <c r="S15" i="1"/>
  <c r="S20" i="1"/>
  <c r="V20" i="1" s="1"/>
  <c r="Y20" i="1" s="1"/>
  <c r="S23" i="1"/>
  <c r="V23" i="1" s="1"/>
  <c r="AC27" i="1"/>
  <c r="AE27" i="1" s="1"/>
  <c r="AG27" i="1" s="1"/>
  <c r="AC33" i="1"/>
  <c r="AE33" i="1" s="1"/>
  <c r="AG33" i="1" s="1"/>
  <c r="V45" i="1"/>
  <c r="S56" i="1"/>
  <c r="S71" i="1"/>
  <c r="S101" i="1"/>
  <c r="Y101" i="1" s="1"/>
  <c r="V105" i="1"/>
  <c r="AC50" i="1"/>
  <c r="AC52" i="1"/>
  <c r="AE52" i="1" s="1"/>
  <c r="AG52" i="1" s="1"/>
  <c r="AC54" i="1"/>
  <c r="AE54" i="1" s="1"/>
  <c r="AG54" i="1" s="1"/>
  <c r="V67" i="1"/>
  <c r="AB76" i="1"/>
  <c r="AD76" i="1" s="1"/>
  <c r="AF76" i="1" s="1"/>
  <c r="P93" i="1"/>
  <c r="Q92" i="1"/>
  <c r="P92" i="1" s="1"/>
  <c r="M97" i="1"/>
  <c r="AC99" i="1"/>
  <c r="U98" i="1"/>
  <c r="U97" i="1" s="1"/>
  <c r="U96" i="1" s="1"/>
  <c r="V101" i="1"/>
  <c r="AC47" i="1"/>
  <c r="AE47" i="1" s="1"/>
  <c r="AG47" i="1" s="1"/>
  <c r="V52" i="1"/>
  <c r="AB52" i="1" s="1"/>
  <c r="AD52" i="1" s="1"/>
  <c r="AF52" i="1" s="1"/>
  <c r="V54" i="1"/>
  <c r="T55" i="1"/>
  <c r="S55" i="1" s="1"/>
  <c r="S57" i="1"/>
  <c r="Y59" i="1"/>
  <c r="S61" i="1"/>
  <c r="Y62" i="1"/>
  <c r="AB62" i="1" s="1"/>
  <c r="AD62" i="1" s="1"/>
  <c r="AF62" i="1" s="1"/>
  <c r="AC69" i="1"/>
  <c r="AE69" i="1" s="1"/>
  <c r="AG69" i="1" s="1"/>
  <c r="U67" i="1"/>
  <c r="U55" i="1" s="1"/>
  <c r="AH69" i="1"/>
  <c r="Y70" i="1"/>
  <c r="V84" i="1"/>
  <c r="Y84" i="1" s="1"/>
  <c r="AC93" i="1"/>
  <c r="AC92" i="1" s="1"/>
  <c r="AC91" i="1" s="1"/>
  <c r="V95" i="1"/>
  <c r="Z97" i="1"/>
  <c r="AE103" i="1"/>
  <c r="AG103" i="1" s="1"/>
  <c r="AC45" i="1"/>
  <c r="AE45" i="1" s="1"/>
  <c r="AG45" i="1" s="1"/>
  <c r="Y67" i="1"/>
  <c r="AB67" i="1" s="1"/>
  <c r="AD67" i="1" s="1"/>
  <c r="AF67" i="1" s="1"/>
  <c r="O70" i="1"/>
  <c r="O12" i="1" s="1"/>
  <c r="U71" i="1"/>
  <c r="U70" i="1" s="1"/>
  <c r="AH76" i="1"/>
  <c r="V77" i="1"/>
  <c r="AB79" i="1"/>
  <c r="AD79" i="1" s="1"/>
  <c r="AF79" i="1" s="1"/>
  <c r="S82" i="1"/>
  <c r="AE84" i="1"/>
  <c r="AG84" i="1" s="1"/>
  <c r="AE93" i="1"/>
  <c r="AG93" i="1" s="1"/>
  <c r="V66" i="1"/>
  <c r="Y66" i="1" s="1"/>
  <c r="AB66" i="1" s="1"/>
  <c r="AD66" i="1" s="1"/>
  <c r="AF66" i="1" s="1"/>
  <c r="AC67" i="1"/>
  <c r="AE67" i="1" s="1"/>
  <c r="AG67" i="1" s="1"/>
  <c r="AC72" i="1"/>
  <c r="V76" i="1"/>
  <c r="AC78" i="1"/>
  <c r="AC84" i="1"/>
  <c r="Y85" i="1"/>
  <c r="AB85" i="1" s="1"/>
  <c r="AD85" i="1" s="1"/>
  <c r="AF85" i="1" s="1"/>
  <c r="AC87" i="1"/>
  <c r="AE87" i="1" s="1"/>
  <c r="AG87" i="1" s="1"/>
  <c r="AC88" i="1"/>
  <c r="AE88" i="1" s="1"/>
  <c r="AG88" i="1" s="1"/>
  <c r="AB94" i="1"/>
  <c r="AD94" i="1" s="1"/>
  <c r="AF94" i="1" s="1"/>
  <c r="S98" i="1"/>
  <c r="V98" i="1" s="1"/>
  <c r="Y76" i="1"/>
  <c r="Y79" i="1"/>
  <c r="AC102" i="1"/>
  <c r="S105" i="1"/>
  <c r="AB95" i="1" l="1"/>
  <c r="AD95" i="1" s="1"/>
  <c r="AF95" i="1" s="1"/>
  <c r="AB15" i="1"/>
  <c r="AD15" i="1" s="1"/>
  <c r="AF15" i="1" s="1"/>
  <c r="U12" i="1"/>
  <c r="AB82" i="1"/>
  <c r="AD82" i="1" s="1"/>
  <c r="AF82" i="1" s="1"/>
  <c r="Y30" i="1"/>
  <c r="AB30" i="1"/>
  <c r="AD30" i="1" s="1"/>
  <c r="AF30" i="1" s="1"/>
  <c r="V15" i="1"/>
  <c r="AC14" i="1"/>
  <c r="AE15" i="1"/>
  <c r="AG15" i="1" s="1"/>
  <c r="AD14" i="1"/>
  <c r="AF14" i="1" s="1"/>
  <c r="Y95" i="1"/>
  <c r="M96" i="1"/>
  <c r="S93" i="1"/>
  <c r="V71" i="1"/>
  <c r="Y71" i="1" s="1"/>
  <c r="AC55" i="1"/>
  <c r="AE55" i="1" s="1"/>
  <c r="AG55" i="1" s="1"/>
  <c r="Y45" i="1"/>
  <c r="AB45" i="1" s="1"/>
  <c r="AD45" i="1" s="1"/>
  <c r="AF45" i="1" s="1"/>
  <c r="V28" i="1"/>
  <c r="Y28" i="1" s="1"/>
  <c r="AB28" i="1" s="1"/>
  <c r="AD28" i="1" s="1"/>
  <c r="AF28" i="1" s="1"/>
  <c r="AB55" i="1"/>
  <c r="AD55" i="1" s="1"/>
  <c r="AF55" i="1" s="1"/>
  <c r="V55" i="1"/>
  <c r="Y55" i="1" s="1"/>
  <c r="S13" i="1"/>
  <c r="V13" i="1" s="1"/>
  <c r="Y18" i="1"/>
  <c r="AB18" i="1" s="1"/>
  <c r="AD18" i="1" s="1"/>
  <c r="AF18" i="1" s="1"/>
  <c r="AB20" i="1"/>
  <c r="AD20" i="1" s="1"/>
  <c r="AF20" i="1" s="1"/>
  <c r="S103" i="1"/>
  <c r="Y103" i="1" s="1"/>
  <c r="V103" i="1"/>
  <c r="Y19" i="1"/>
  <c r="AB19" i="1" s="1"/>
  <c r="AD19" i="1" s="1"/>
  <c r="AF19" i="1" s="1"/>
  <c r="AE78" i="1"/>
  <c r="AG78" i="1" s="1"/>
  <c r="AC77" i="1"/>
  <c r="AE77" i="1" s="1"/>
  <c r="AG77" i="1" s="1"/>
  <c r="V82" i="1"/>
  <c r="AB54" i="1"/>
  <c r="AD54" i="1" s="1"/>
  <c r="AF54" i="1" s="1"/>
  <c r="Y77" i="1"/>
  <c r="AB77" i="1" s="1"/>
  <c r="AD77" i="1" s="1"/>
  <c r="AF77" i="1" s="1"/>
  <c r="AB101" i="1"/>
  <c r="AD101" i="1" s="1"/>
  <c r="AF101" i="1" s="1"/>
  <c r="Y64" i="1"/>
  <c r="AB64" i="1" s="1"/>
  <c r="AD64" i="1" s="1"/>
  <c r="AF64" i="1" s="1"/>
  <c r="AE64" i="1" s="1"/>
  <c r="AG64" i="1" s="1"/>
  <c r="Y23" i="1"/>
  <c r="Y15" i="1"/>
  <c r="AB56" i="1"/>
  <c r="AD56" i="1" s="1"/>
  <c r="AF56" i="1" s="1"/>
  <c r="V56" i="1"/>
  <c r="Y56" i="1"/>
  <c r="Y39" i="1"/>
  <c r="AB39" i="1" s="1"/>
  <c r="AD39" i="1" s="1"/>
  <c r="AF39" i="1" s="1"/>
  <c r="AC30" i="1"/>
  <c r="AE30" i="1" s="1"/>
  <c r="AG30" i="1" s="1"/>
  <c r="AE91" i="1"/>
  <c r="AG91" i="1" s="1"/>
  <c r="AB23" i="1"/>
  <c r="AD23" i="1" s="1"/>
  <c r="AF23" i="1" s="1"/>
  <c r="M12" i="1"/>
  <c r="AC101" i="1"/>
  <c r="AE101" i="1" s="1"/>
  <c r="AG101" i="1" s="1"/>
  <c r="AE102" i="1"/>
  <c r="AG102" i="1" s="1"/>
  <c r="AE72" i="1"/>
  <c r="AG72" i="1" s="1"/>
  <c r="AC71" i="1"/>
  <c r="O113" i="1"/>
  <c r="O11" i="1"/>
  <c r="Y57" i="1"/>
  <c r="Y105" i="1"/>
  <c r="AB105" i="1"/>
  <c r="AD105" i="1" s="1"/>
  <c r="AF105" i="1" s="1"/>
  <c r="S92" i="1"/>
  <c r="V92" i="1" s="1"/>
  <c r="Y98" i="1"/>
  <c r="AB98" i="1" s="1"/>
  <c r="AD98" i="1" s="1"/>
  <c r="AF98" i="1" s="1"/>
  <c r="AC98" i="1"/>
  <c r="AE99" i="1"/>
  <c r="AG99" i="1" s="1"/>
  <c r="V93" i="1"/>
  <c r="Y93" i="1" s="1"/>
  <c r="AE50" i="1"/>
  <c r="AG50" i="1" s="1"/>
  <c r="AC49" i="1"/>
  <c r="AE49" i="1" s="1"/>
  <c r="AG49" i="1" s="1"/>
  <c r="AB84" i="1"/>
  <c r="AD84" i="1" s="1"/>
  <c r="AF84" i="1" s="1"/>
  <c r="V57" i="1"/>
  <c r="AB57" i="1" s="1"/>
  <c r="AD57" i="1" s="1"/>
  <c r="AF57" i="1" s="1"/>
  <c r="V35" i="1"/>
  <c r="S97" i="1"/>
  <c r="V97" i="1" s="1"/>
  <c r="V61" i="1"/>
  <c r="Y54" i="1"/>
  <c r="AE92" i="1"/>
  <c r="AG92" i="1" s="1"/>
  <c r="AB93" i="1" l="1"/>
  <c r="AD93" i="1" s="1"/>
  <c r="AF93" i="1" s="1"/>
  <c r="AC70" i="1"/>
  <c r="AE70" i="1" s="1"/>
  <c r="AG70" i="1" s="1"/>
  <c r="AE71" i="1"/>
  <c r="AG71" i="1" s="1"/>
  <c r="M113" i="1"/>
  <c r="M11" i="1"/>
  <c r="Y61" i="1"/>
  <c r="AB61" i="1" s="1"/>
  <c r="AD61" i="1" s="1"/>
  <c r="AF61" i="1" s="1"/>
  <c r="AC13" i="1"/>
  <c r="AE14" i="1"/>
  <c r="AG14" i="1" s="1"/>
  <c r="Y92" i="1"/>
  <c r="AB92" i="1" s="1"/>
  <c r="AD92" i="1" s="1"/>
  <c r="AF92" i="1" s="1"/>
  <c r="Y97" i="1"/>
  <c r="AB97" i="1" s="1"/>
  <c r="AD97" i="1" s="1"/>
  <c r="AF97" i="1" s="1"/>
  <c r="AB103" i="1"/>
  <c r="AD103" i="1" s="1"/>
  <c r="AF103" i="1" s="1"/>
  <c r="Y13" i="1"/>
  <c r="AB13" i="1" s="1"/>
  <c r="AD13" i="1" s="1"/>
  <c r="AF13" i="1" s="1"/>
  <c r="U113" i="1"/>
  <c r="U11" i="1"/>
  <c r="AC97" i="1"/>
  <c r="AE98" i="1"/>
  <c r="AG98" i="1" s="1"/>
  <c r="Y35" i="1"/>
  <c r="AB35" i="1" s="1"/>
  <c r="AD35" i="1" s="1"/>
  <c r="AF35" i="1" s="1"/>
  <c r="AB71" i="1"/>
  <c r="AD71" i="1" s="1"/>
  <c r="AF71" i="1" s="1"/>
  <c r="AI14" i="1" l="1"/>
  <c r="AC96" i="1"/>
  <c r="AE96" i="1" s="1"/>
  <c r="AG96" i="1" s="1"/>
  <c r="AE97" i="1"/>
  <c r="AG97" i="1" s="1"/>
  <c r="AC12" i="1"/>
  <c r="AE13" i="1"/>
  <c r="AG13" i="1" s="1"/>
  <c r="AC113" i="1" l="1"/>
  <c r="AC11" i="1"/>
  <c r="AE12" i="1"/>
  <c r="AJ14" i="1" l="1"/>
  <c r="AE11" i="1"/>
  <c r="AG11" i="1" s="1"/>
  <c r="AE113" i="1"/>
  <c r="AG113" i="1" s="1"/>
  <c r="AG12" i="1"/>
  <c r="A10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WINDOWS10</author>
  </authors>
  <commentList>
    <comment ref="J113" authorId="0" shapeId="0" xr:uid="{FE73747D-180B-4153-81A9-02F773A69BB1}">
      <text>
        <r>
          <rPr>
            <b/>
            <u/>
            <sz val="9"/>
            <color indexed="81"/>
            <rFont val="Tahoma"/>
            <family val="2"/>
          </rPr>
          <t>SUMBER DATA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RENSTRA BAPPEDA 2019-2024</t>
        </r>
      </text>
    </comment>
    <comment ref="N113" authorId="0" shapeId="0" xr:uid="{B62FF2AA-AE37-43E9-9156-24EC524696D8}">
      <text>
        <r>
          <rPr>
            <b/>
            <u/>
            <sz val="9"/>
            <color indexed="81"/>
            <rFont val="Tahoma"/>
            <family val="2"/>
          </rPr>
          <t xml:space="preserve">SUMBER DATA: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DPA T.A. 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3" authorId="0" shapeId="0" xr:uid="{BE92EAF2-718F-453E-84FD-0F11543BA667}">
      <text>
        <r>
          <rPr>
            <b/>
            <u/>
            <sz val="9"/>
            <color indexed="81"/>
            <rFont val="Tahoma"/>
            <family val="2"/>
          </rPr>
          <t>SUMBER DATA</t>
        </r>
        <r>
          <rPr>
            <b/>
            <sz val="9"/>
            <color indexed="81"/>
            <rFont val="Tahoma"/>
            <family val="2"/>
          </rPr>
          <t>:
LAPORAN BULANAN REALISASI KEUANGAN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<sst xmlns="http://schemas.openxmlformats.org/spreadsheetml/2006/main" count="369" uniqueCount="259">
  <si>
    <t>Evaluasi Terhadap Hasil RKPD</t>
  </si>
  <si>
    <t xml:space="preserve">Kabupaten Deli Serdang </t>
  </si>
  <si>
    <t>Tahun 2025</t>
  </si>
  <si>
    <t>No</t>
  </si>
  <si>
    <t>Sasaran Perangkat daerah</t>
  </si>
  <si>
    <t>Urusan/Bidang Urusan Pemerintahan Daerah dan Program/Kegiatan</t>
  </si>
  <si>
    <t>Indikator Kinerja Program (Outcome)/Kegiatan (Output)</t>
  </si>
  <si>
    <t>Satuan</t>
  </si>
  <si>
    <t>Target Renstra Perangkat Daerah Pada Tahun 2030  (Akhir Periode Renstra Perangkat Daerah)</t>
  </si>
  <si>
    <t>Realisasi Capaian Kinerja Renstra Perangkat Daerah sampai dengan Renja Perangkat Daerah Tahun 2024</t>
  </si>
  <si>
    <t>Target Kinerja dan Anggaran Renja Perangkat Daerah Tahun Berjalan (Tahun 2025) yang dievaluasi</t>
  </si>
  <si>
    <t>Realisasi Kinerja Pada Triwulan</t>
  </si>
  <si>
    <t>Realisasi Capaian Kinerja dan Anggaran Renja Perangkat Daerah yang Dievaluasi</t>
  </si>
  <si>
    <t>Realisasi Kinerja dan Anggaran Renstra Perangkat Daerah  s/d Tahun 2025 (Akhir Tahun Pelaksanaan Renja Perangkat Daerah)</t>
  </si>
  <si>
    <t>Tingkat Capaian Kinerja dan Realisasi Anggaran Renstra Perangkat Daerah s/d Tahun 2030 (%)</t>
  </si>
  <si>
    <t>Visi</t>
  </si>
  <si>
    <t>Misi</t>
  </si>
  <si>
    <t>Sasaran RPJMD/ NSPK</t>
  </si>
  <si>
    <t>Tujuan Perangkat Daerah</t>
  </si>
  <si>
    <t>I</t>
  </si>
  <si>
    <t>II</t>
  </si>
  <si>
    <t>III</t>
  </si>
  <si>
    <t>IV</t>
  </si>
  <si>
    <t>13 = 9 + 10 + 11 + 12</t>
  </si>
  <si>
    <t>14 = 7 + 13</t>
  </si>
  <si>
    <t>15 = 14 / 6 x 100</t>
  </si>
  <si>
    <t>K</t>
  </si>
  <si>
    <t>Rp.</t>
  </si>
  <si>
    <t>%</t>
  </si>
  <si>
    <t xml:space="preserve"> </t>
  </si>
  <si>
    <t>Perangkat Daerah : Badan Perencanaan Pembangunan Daerah, Penelitian dan Pengembangan (BAPPEDALITBANG)</t>
  </si>
  <si>
    <t>Terwujudnya Deli Serdang Sehat, Cerdas, Sejahtera, Religius dan Berkelanjutan</t>
  </si>
  <si>
    <t>Sehat Pelayanan Publiknya</t>
  </si>
  <si>
    <t>UNSUR PENUNJANG URUSAN PEMERINTAHAN</t>
  </si>
  <si>
    <t>PERENCANAAN</t>
  </si>
  <si>
    <t>Meningkatnya Akuntabilitas dan Kinerja Penyelenggaraan Pemerintahan Daerah</t>
  </si>
  <si>
    <t xml:space="preserve">Meningkatnya Akuntabilitas dan Kinerja Penyelenggaraan Pemerintah Daerah </t>
  </si>
  <si>
    <t>Meningkatnya Kinerja Perangkat Daerah</t>
  </si>
  <si>
    <t>Program Penunjang Urusan Pemerintahan Daerah Kabupaten/Kota</t>
  </si>
  <si>
    <t>1. Nilai LHE AKIP Perangkat Daerah    2. Indeks Kepuasan Masyarakat (IKM)</t>
  </si>
  <si>
    <t>Nilai</t>
  </si>
  <si>
    <t>Perencanaan, Penganggaran, dan Evaluasi Kinerja Perangkat Daerah</t>
  </si>
  <si>
    <t>Persentase Tertib Pelaporan Capaian Kinerja, Rencana Kerja dan Penganggaran</t>
  </si>
  <si>
    <t>Penyusunan Dokumen Perencanaan Perangkat Daerah</t>
  </si>
  <si>
    <t>Jumlah Dokumen Perencanaan Perangkat Daerah</t>
  </si>
  <si>
    <t>Dok</t>
  </si>
  <si>
    <t>Koordinasi dan Penyusunan Dokumen RKA-SKPD</t>
  </si>
  <si>
    <t>Jumlah Dokumen RKA-SKPD dan Laporan Hasil Koordinasi Penyusunan Dokumen RKA-SKPD</t>
  </si>
  <si>
    <t>Koordinasi dan Penyusunan Dokumen Perubahan RKA-SKPD</t>
  </si>
  <si>
    <t>Jumlah Dokumen Perubahan RKA-SKPD dan Laporan Hasil Koordinasi Penyusunan Dokumen Perubahan RKA-SKPD</t>
  </si>
  <si>
    <t>Koordinasi dan Penyusunan DPA-SKPD</t>
  </si>
  <si>
    <t>Jumlah Dokumen DPA-SKPD dan Laporan Hasil Koordinasi Penyusunan Dokumen DPA-SKPD</t>
  </si>
  <si>
    <t>Koordinasi dan Penyusunan Perubahan DPA-SKPD</t>
  </si>
  <si>
    <t>Jumlah Dokumen Perubahan DPA-SKPD dan Laporan Hasil Koordinasi Penyusunan Dokumen Perubahan DPA-SKPD</t>
  </si>
  <si>
    <t>Koordinasi dan Penyusunan Laporan Capaian Kinerja dan Ikhtisar Realisasi Kinerja SKPD</t>
  </si>
  <si>
    <t>Jumlah Laporan Capaian Kinerja dan Ikhtisar Realisasi Kinerja SKPD dan Laporan Hasil Koordinasi Penyusunan Laporan Capaian Kinerja dan Ikhtisar Realisasi SKPD</t>
  </si>
  <si>
    <t>Lap</t>
  </si>
  <si>
    <t>Evaluasi Kinerja Perangkat Daerah</t>
  </si>
  <si>
    <t>Jumlah Laporan Evaluasi Kinerja Perangkat Daerah</t>
  </si>
  <si>
    <t>Administrasi Keuangan Perangkat Daerah</t>
  </si>
  <si>
    <t>Persentase Tertib Administrasi dan Pelaporan Keuangan</t>
  </si>
  <si>
    <t>Penyediaan Gaji dan Tunjangan ASN</t>
  </si>
  <si>
    <t>Jumlah Orang yang Menerima Gaji dan Tunjangan ASN</t>
  </si>
  <si>
    <t>Orang / Bulan</t>
  </si>
  <si>
    <t>Penyediaan Administrasi Pelaksanaan Tugas ASN</t>
  </si>
  <si>
    <t>Jumlah Dokumen Hasil Penyediaan Administrasi Pelaksanaan Tugas ASN</t>
  </si>
  <si>
    <t>Koordinasi dan Penyusunan Laporan Keuangan Akhir Tahun SKPD</t>
  </si>
  <si>
    <t>Jumlah Laporan Keuangan Akhir Tahun SKPD dan Laporan Hasil Koordinasi Penyusunan Laporan Keuangan Akhir Tahun SKPD</t>
  </si>
  <si>
    <t>Koordinasi dan Penyusunan Laporan Keuangan Bulanan/Triwulanan/Semesteran SKPD</t>
  </si>
  <si>
    <t>Jumlah Laporan Keuangan Bulanan/ Triwulanan/ Semesteran SKPD dan Laporan Koordinasi Penyusunan Laporan Keuangan Bulanan/ Triwulanan/ Semesteran SKPD</t>
  </si>
  <si>
    <t xml:space="preserve">Meningkatnya Pelayanan Publik yang Cepat, Transparan dan Mudah </t>
  </si>
  <si>
    <t>Meningkatnya Kualitas Pelayanan Perangkat Daerah</t>
  </si>
  <si>
    <t>Administrasi Kepegawaian Perangkat Daerah</t>
  </si>
  <si>
    <t>Persentase Tingkat Disiplin Aparatur</t>
  </si>
  <si>
    <t>Peningkatan Sarana dan Prasarana Displin Pegawai</t>
  </si>
  <si>
    <t>Jumlah Unit Peningkatan Sarana dan Prasarana Disiplin Pegawai</t>
  </si>
  <si>
    <t>Unit</t>
  </si>
  <si>
    <t>Pengadaan Pakaian Dinas Beserta Atribut Kelengkapannya</t>
  </si>
  <si>
    <t>Jumlah Paket Pakaian Dinas Beserta Atribut Kelengkapan</t>
  </si>
  <si>
    <t>Paket</t>
  </si>
  <si>
    <t>Administrasi Umum Perangkat Daerah</t>
  </si>
  <si>
    <t>Persentase Ketersediaan Pemenuhan Layanan Umum Kedinasan</t>
  </si>
  <si>
    <t>Penyediaan Komponen Instalasi Listrik/Penerangan Bangunan Kantor</t>
  </si>
  <si>
    <t>Jumlah Paket Komponen Instalasi Listrik/Penerangan Bangunan Kantor yang Disediakan</t>
  </si>
  <si>
    <t>Penyediaan Peralatan dan Perlengkapan Kantor</t>
  </si>
  <si>
    <t>Jumlah Paket Peralatan dan Perlengkapan Kantor yang Disediakan</t>
  </si>
  <si>
    <t>Penyediaan Bahan Logistik Kantor</t>
  </si>
  <si>
    <t>Jumlah Paket Bahan Logistik Kantor yang Disediakan</t>
  </si>
  <si>
    <t>Penyediaan Barang Cetakan dan Penggandaan</t>
  </si>
  <si>
    <t>Jumlah Paket Barang Cetakan dan Penggandaan yang Disediakan</t>
  </si>
  <si>
    <t>Penyediaan Bahan Bacaan dan Peraturan Perundang-undangan</t>
  </si>
  <si>
    <t>Jumlah Dokumen Bahan Bacaan dan Peraturan Perundang - undangan yang Disediakan</t>
  </si>
  <si>
    <t>Fasilitasi Kunjungan Tamu</t>
  </si>
  <si>
    <t>Jumlah Laporan Fasilitasi Kunjungan Tamu</t>
  </si>
  <si>
    <t>Penyelenggaraan Rapat Koordinasi dan Konsultasi SKPD</t>
  </si>
  <si>
    <t>Jumlah Laporan Penyelenggaraan Rapat Koordinasi dan Konsultasi SKPD</t>
  </si>
  <si>
    <t>Penatausahaan Arsip Dinamis Pada SKPD</t>
  </si>
  <si>
    <t>Jumlah Dokumen Penatausahaan Arsip Dinamis Pada SKPD</t>
  </si>
  <si>
    <t>Pengadaan Barang Milik Daerah Penunjang Urusan Pemerintah Daerah</t>
  </si>
  <si>
    <t>Persentase Pemenuhan Sarana dan Prasarana Gedung Kantor</t>
  </si>
  <si>
    <t>Pengadaan Kendaraan Perorangan Dinas atau Kendaraan Dinas Jabatan</t>
  </si>
  <si>
    <t>Jumlah Unit Kendaraan  Perorangan Dinas  Jabatan yang Disediakan</t>
  </si>
  <si>
    <t>Unir</t>
  </si>
  <si>
    <t>Pengadaan Kendaraan Dinas Operasional atau Lapangan  yang Disediakan</t>
  </si>
  <si>
    <t>Jumlah Unit Kendaraan Dinas Operasional atau Lapangan yang Disediakan</t>
  </si>
  <si>
    <t>Pengadaan Mebel</t>
  </si>
  <si>
    <t>Jumlah Unit Mebel yang Disediakan</t>
  </si>
  <si>
    <t>Pengadaan Peralatan dan Mesin Lainnya</t>
  </si>
  <si>
    <t>Jumlah Unit Peralatan dan Mesin Lainnya yang disediakan</t>
  </si>
  <si>
    <t>Pengadaan Sarana dan Prasarana Gedung Kantor atau Bangunan Lainnya</t>
  </si>
  <si>
    <t>Jumlah Unit Sarana dan Prasarana Gedung Kantor atau Bangunan Lainnya yang Disediakan</t>
  </si>
  <si>
    <t>Penyediaan Jasa Penunjang Urusan Pemerintahan Daerah</t>
  </si>
  <si>
    <t>Persentase Pemenuhan Penunjang Layanan Kedinasan</t>
  </si>
  <si>
    <t>Penyediaan Jasa Surat Menyurat</t>
  </si>
  <si>
    <t>Jumlah Laporan Penyediaan Jasa Surat Menyurat</t>
  </si>
  <si>
    <t>Penyediaan Jasa Komunikasi, Sumber Daya Air dan Listrik</t>
  </si>
  <si>
    <t>Jumalh Laporan Penyediaan Jasa Komunikasi, Sumber Daya Air dan Listrik yang Disediakan</t>
  </si>
  <si>
    <t>Penyediaan Jasa Pelayanan Umum Kantor</t>
  </si>
  <si>
    <t>Jumlah Laporan Penyediaan Jasa Pelayanan Umum Kantor yang Disediakan</t>
  </si>
  <si>
    <t>Pemeliharaan Barang Milik Daerah Penunjang Urusan Pemerintahan Daerah</t>
  </si>
  <si>
    <t>Jumlah Barang Milik Daerah yang Terpelihara</t>
  </si>
  <si>
    <t>Jenis</t>
  </si>
  <si>
    <t>Penyediaan Jasa Pemeliharaan, Biaya Pemeliharaan, Pajak dan Perizinan Kendaraan Dinas Operasional atau Lapangan</t>
  </si>
  <si>
    <t>Jumalh Kendaraan Dinas Operasional atau Lapangan yang Dipelihara dan Dibayarkan Pajak dan Perizinannya</t>
  </si>
  <si>
    <t>Pemelihraan Mebel</t>
  </si>
  <si>
    <t>Jumlah Mebel yang Dipelihara</t>
  </si>
  <si>
    <t>Pemeliharaan Peralatan dan Mesin Lainnya</t>
  </si>
  <si>
    <t>Jumlah Peralatan dan Mesin Lainnya yang Dipelihara</t>
  </si>
  <si>
    <t>Pemeliharaan/Rehabilitasi Gedung Kantor dan Bangunan Lainnya</t>
  </si>
  <si>
    <t>Jumlah Gedung Kantor dan Bangunan Lainnya yang Dipelihara / Direhabilitasi</t>
  </si>
  <si>
    <t>Pemeliharaan/Rehabilitasi Sarana dan Prasarana Gedung Kantor atau Bangunan Laiinnya</t>
  </si>
  <si>
    <t>Jumlah Sarana dan Prasarana Gedung Kantor atau Bangunan Lainnya yang Dipelihara / Direhabilitasi</t>
  </si>
  <si>
    <t>Meningkatnya Kualitas Perencanaan Pembangunan Daerah</t>
  </si>
  <si>
    <t>Program Perencanaan, Pengendalian Dan Evaluasi Pembangunan Daerah</t>
  </si>
  <si>
    <t>Persentase Perencanaan Pembangunan Partisipatif</t>
  </si>
  <si>
    <t>Penyusunan Perencanaan dan Pendanaan</t>
  </si>
  <si>
    <t>Persentase Penyusunan Dokumen Perencanaan Daerah Tepat Waktu</t>
  </si>
  <si>
    <t>Analisis Kondisi Daerah, Permasalahan, dan Isu Strategis Pembangunan Daerah</t>
  </si>
  <si>
    <t>Jumlah Dokumen Rancangan Awal RPJMD/RKPD (Sesuai Kebutuhan Jika RPJMD Maka Rancangan Teknokratik)</t>
  </si>
  <si>
    <t>Koordinasi Penelaah Dokumen Perencanaan Pembangunan Daerah dengan Dokumen Kebijakan Lainnya</t>
  </si>
  <si>
    <t>Jumlah Telaahan Dokumen Perencanaan Pembangunan Daerah</t>
  </si>
  <si>
    <t>Pelaksanaan Konsultasi Publik</t>
  </si>
  <si>
    <t>Jumlah Berita Acara Konsultasi Publik</t>
  </si>
  <si>
    <t>Berita Acara</t>
  </si>
  <si>
    <t>Koordinasi Pelaksanaan Forum Perangkat Daerah/Lintas Perangkat Daerah</t>
  </si>
  <si>
    <t>Jumlah Berita Acara Forum Perangkat Daerah/Lintas Perangkat Daerah</t>
  </si>
  <si>
    <t>Pelaksanaan Musrenbang Kabupaten/Kota</t>
  </si>
  <si>
    <t>Jumlah Berita Acara Musrenbang RKPD Kabupaten</t>
  </si>
  <si>
    <t>Penyiapan Bahan Koordinasi Musrenbang Kecamatan</t>
  </si>
  <si>
    <t>Jumlah Usulan yang Terverifikasi oleh Kecamatan</t>
  </si>
  <si>
    <t>Usulan</t>
  </si>
  <si>
    <t>Koordinasi Penyusunan dan Penetapan Dokumen Perencanaan Pembangunan Daerah Kabupaten/Kota</t>
  </si>
  <si>
    <t>Jumlah Dokumen Perencanaan Pembangunan Daerah Kabupaten/Kota yang Ditetapkan (RPJPD/RPJMD/RKPD)</t>
  </si>
  <si>
    <t>Analisis Data dan Informasi Pemerintahan Daerah Bidang Perencanaan Pembangunan Daerah</t>
  </si>
  <si>
    <t>Persentase Ketersediaan Data dan Informasi Pembangunan</t>
  </si>
  <si>
    <t>Analisis Data dan Informasi Perencanaan Pembangunan Daerah</t>
  </si>
  <si>
    <t>Jumlah Dokumen Hasil Analisis Data untuk Penyusunan Kebijakan Perencanaan Pembangunan Daerah</t>
  </si>
  <si>
    <t>Pembinaan dan Pemanfaatan Data dan Informasi Perencanaan Pembangunan Perangkat Daerah</t>
  </si>
  <si>
    <t>Jumlah Orang yang Dibina dalam Pemanfaatan Data dan Informasi</t>
  </si>
  <si>
    <t>Orang</t>
  </si>
  <si>
    <t>Pengendalian, Evaluasi dan Pelaporan Bidang Perencanaan Pembangunan Daerah</t>
  </si>
  <si>
    <t>Persentase Pemetaan Permasalahan Capaian Pembangunan Yang Direkomendasikan</t>
  </si>
  <si>
    <t>Pengendalian Pelaksanaan Kerja Sama Daerah</t>
  </si>
  <si>
    <t>Jumlah Kerja Sama Daerah yang Direkomendasikan Pelaksanaannya</t>
  </si>
  <si>
    <t>Kerja Sama</t>
  </si>
  <si>
    <t>Monitoring, Evaluasi dan Penyusunan Laporan Berkala Pelaksanaan Pembangunan Daerah</t>
  </si>
  <si>
    <t>Jumlah Laporan Hasil Evaluasi Kinerja Pembangunan Daerah</t>
  </si>
  <si>
    <t>Program Koordinasi Dan Sinkronisasi Perancanaan Pembangunan Daerah</t>
  </si>
  <si>
    <t>Persentase Keselarasan Dokumen Perencanaan Daerah</t>
  </si>
  <si>
    <t>Koordinasi Perencanaan Bidang Pemerintahan dan Pembangunan Manusia</t>
  </si>
  <si>
    <t>Persentase Tingkat Keselarasan Perencanaan Perangkat Daerah Bidang Pemerintahan dan Pembangunan Manusia dengan Perencanaan Daerah</t>
  </si>
  <si>
    <t>Koordinasi Penyusunan Dokumen Perencanaan Pembangunan Daerah Bidang Pemerintahan (RPJPD, RPJMD dan RKPD)</t>
  </si>
  <si>
    <t>Jumlah Dokumen Perencanaan Pembangunan Daerah Bidang Pemerintahan Yang Dikoordinir Penyusunannya (RPJPD, RPJMD dan RKPD)</t>
  </si>
  <si>
    <t>Pelaksanaan Monitoring dan Evaluasi Penyusunan Dokumen Perencanaan Pembangunan Perangkat Daerah Bidang Pemerintahan</t>
  </si>
  <si>
    <t>Jumlah Laporan Monitoring dan Evaluasi Penyusunan Dokumen Perencanaan Pembangunan Perangkat Daerah Bidang Pemerintahan</t>
  </si>
  <si>
    <t>Koordinasi Penyusunan Dokumen Perencanaan Pembangunan Daerah Bidang Pembangunan Manusia (RPJPD, RPJMD dan RKPD)</t>
  </si>
  <si>
    <t>Jumlah Dokumen Perencanaan Pembangunan Daerah Bidang Pembangunan Manusia Yang Dikoordinir Penyusunannya (RPJPD, RPJMD dan RKPD)</t>
  </si>
  <si>
    <t>Pelaksanaan Monitoring dan Evaluasi Penyusunan Dokumen Perencanaan Pembangunan Perangkat Daerah Bidang Pembangunan Manusia</t>
  </si>
  <si>
    <t>Jumlah Laporan Hasil Pelaksanaan Monitoring dan Evaluasi Penyusunan Dokumen Perencanaan Pembangunan Perangkat Daerah Bidang Pembangunan Manusia</t>
  </si>
  <si>
    <t>Koordinasi Pelaksanaan Sinergitas dan Harmonisasi Perencanaan Pembangunan Daerah Bidang Pembangunan Manusia</t>
  </si>
  <si>
    <t>Jumlah Laporan Hasil Sinkronisasi Renstra/Renja dengan RKPD/RPJMD pada Bidang Pembangunan Manusia</t>
  </si>
  <si>
    <t>Koordinasi Perencanaan Bidang Perekonomian dan SDA (Sumber Daya Alam)</t>
  </si>
  <si>
    <t>Persentase Tingkat Keselarasan Perencanaan Perangkat Daerah Bidang Perekonomian dan SDA dengan Perencanaan Daerah</t>
  </si>
  <si>
    <t>Koordinasi Penyusunan Dokumen Perencanaan Pembangunan Daerah Bidang Perekonomian (RPJPD, RPJMD dan RKPD)</t>
  </si>
  <si>
    <t>Jumlah Dokumen Perencanaan Pembangunan Daerah Bidang Perekonomian yang Dikoordinir Penyusunannya (RPJPD, RPJMD dan RKPD)</t>
  </si>
  <si>
    <t>Pelaksanaan Monitoring dan Evaluasi Penyusunan Dokumen Perencanaan Pembangunan Perangkat Daerah Bidang Perekonomian</t>
  </si>
  <si>
    <t>Jumlah Laporan Hasil Pelaksanaan Monitoring dan Evaluasi Penyusunan Dokumen Perencanaan Pembangunan Perangkat Daerah Bidang Perekonomian</t>
  </si>
  <si>
    <t>Koordinasi Pelaksanaan Sinergitas dan Harmonisasi Perencanaan Pembangunan Daerah Bidang Perekonomian</t>
  </si>
  <si>
    <t>Jumlah Laporan Hasil Sinkronisasi Renstra/Renja dengan RKPD/RPJMD pada Bidang Perekonomian</t>
  </si>
  <si>
    <t>Koordinasi Penyusunan Dokumen Perencanaan Pembangunan Daerah Bidang SDA (RPJPD, RPJMD dan RKPD)</t>
  </si>
  <si>
    <t>Jumlah Dokumen Perencanaan Pembangunan Daerah Bidang SDA yang Dikoordinir Penyusunannya (RPJPD, RPJMD dan RKPD)</t>
  </si>
  <si>
    <t>Pelaksanaan Monitoring dan Evaluasi Penyusunan Dokumen Perencanaan Pembangunan Perangkat Daerah Bidang SDA</t>
  </si>
  <si>
    <t>Jumlah Laporan Hasil Pelaksanaan Monitoring dan Evaluasi Penyusunan Dokumen Perencanaan Pembangunan Perangkat Daerah Bidang SDA</t>
  </si>
  <si>
    <t>Koordinasi Pelaksanaan Sinergitas dan Harmonisasi Perencanaan Pembangunan Daerah Bidang SDA</t>
  </si>
  <si>
    <t>Jumlah Laporan Hasil Sinkronisasi Renstra/Renja dengan RKPD/RPJMD pada Bidang SDA</t>
  </si>
  <si>
    <t>Koordinasi Perencanaan Bidang Infrastruktur dan Kewilayahan</t>
  </si>
  <si>
    <t>Persentase Tingkat Keselarasan Perencanaan Perangkat Daerah Bidang Infrastuktur dan Kewilayahan dengan Perencanaan Daerah</t>
  </si>
  <si>
    <t>Koordinasi Penyusunan Dokumen Perencanaan Pembangunan Daerah Bidang Infrastruktur (RPJPD, RPJMD dan RKPD)</t>
  </si>
  <si>
    <t>Jumlah Dokumen Perencanaan Pembangunan Daerah Bidang Infrastruktur yang Dikoordinir Penyusunannya (RPJPD, RPJMD dan RKPD)</t>
  </si>
  <si>
    <t>Pelaksanaan Monitoring dan Evaluasi Penyusunan Dokumen Perencanaan Pembangunan Perangkat Daerah Bidang Infrastruktur</t>
  </si>
  <si>
    <t>Jumlah Laporan Hasil Pelaksanaan Monitoring dan Evaluasi Penyusunan Dokumen Perencanaan Pembangunan Perangkat Daerah Bidang Infrastruktur</t>
  </si>
  <si>
    <t>Koordinasi Pelaksanaan Sinergitas dan Harmonisasi Perencanaan Pembangunan Daerah Bidang Infrastruktur</t>
  </si>
  <si>
    <t>Jumlah Laporan Hasil Sinkronisasi Renstra/Renja dengan RKPD/RPJMD pada Bidang Infrastruktur</t>
  </si>
  <si>
    <t>Koordinasi Penyusunan Dokumen Perencanaan Pembangunan Daerah Bidang Kewilayahan (RPJPD, RPJMD dan RKPD)</t>
  </si>
  <si>
    <t>Jumlah Dokumen Perencanaan Pembangunan Daerah Bidang Kewilayahan yang Dikoordinir Penyusunannya (RPJPD, RPJMD dan RKPD)</t>
  </si>
  <si>
    <t>Pelaksanaan Monitoring dan Evaluasi Penyusunan Dokumen Perencanaan Pembangunan Perangkat Daerah Bidang Kewilayahan</t>
  </si>
  <si>
    <t>Jumlah Laporan Hasil Pelaksanaan Monitoring dan Evaluasi Penyusunan Dokumen Perencanaan Pembangunan Perangkat Daerah Bidang Kewilayahan</t>
  </si>
  <si>
    <t>Koordinasi Pelaksanaan Sinergitas dan Harmonisasi Perencanaan Pembangunan Daerah Bidang Kewilayahan</t>
  </si>
  <si>
    <t>Jumlah Laporan Hasil Sinkronisasi Renstra/Renja dengan RKPD/RPJMD pada Bidang Kewilayahan</t>
  </si>
  <si>
    <t>Keuangan</t>
  </si>
  <si>
    <t>Program Pengelolaan Keuangan Daerah</t>
  </si>
  <si>
    <t>Persentase Pendanaan Perangkat Daerah Berbasis Kinerja</t>
  </si>
  <si>
    <t>Koordinasi dan Penyusunan Rencana Anggaran Daerah</t>
  </si>
  <si>
    <t>Persentase Ketersediaan Dokumen Pendanaan Sementara Perangkat Daerah</t>
  </si>
  <si>
    <t>Koordinasi dan Penyusunan KUA dan PPAS</t>
  </si>
  <si>
    <t>Jumlah Dokumen KUA-PPAS yang Disusun</t>
  </si>
  <si>
    <t>Koordinasi dan Penyusunan Perubahan KUA dan PPAS</t>
  </si>
  <si>
    <t>Jumlah Dokumen Perubahan KUA-PPAS yang Disusun</t>
  </si>
  <si>
    <t>Penelitian dan Pengembangan</t>
  </si>
  <si>
    <t>Meningkatnya Peran Riset dan Inovasi dalam Mendukung Pembangunan Daerah</t>
  </si>
  <si>
    <t>Program Penelitian dan Pengembangan Daerah</t>
  </si>
  <si>
    <t>Persentase Pemanfaatan Hasil Kajian Yang digunakan Dalam Rancangan/Rumusan Kebijakan</t>
  </si>
  <si>
    <t>Penelitian dan Pengembangan Bidang Penyelenggaraan Pemerintahan dan Pengkajian Peraturan</t>
  </si>
  <si>
    <t>Persentase Kajian Berbasis Kebutuhan Masyarakat dan Permasalahan Pembangunan Daerah Bidang Penyelenggaraan Pemerintahan dan Pengkajian Peraturan</t>
  </si>
  <si>
    <t>Fasilitasi, Pelaksanaan dan Evaluasi Penelitian dan Pengembangan Bidang Pemerintahan Umum</t>
  </si>
  <si>
    <t>Jumlah Laporan Hasil Pelaksanaan Fasilitasi, Pelaksanaan dan Evaluasi Penelitian dan Pengembangan Bidang Pemerintahan Umum</t>
  </si>
  <si>
    <t>Pengelolaan Data Kelitbangan dan Peraturan</t>
  </si>
  <si>
    <t>Jumlah Data Kelitbangan dan Peraturan yang Terkelola dengan Baik</t>
  </si>
  <si>
    <t>Penelitian dan Pengembangan Bidang Ekonomi dan Pembangunan</t>
  </si>
  <si>
    <t>Persentase Kajian Berbasis Kebutuhan Masyarakat dan Permasalahan Pembangunan Daerah Bidang Ekonomi dan Pembangunan</t>
  </si>
  <si>
    <t>Penelitian dan Pengembangan Komunikasi dan Informatika</t>
  </si>
  <si>
    <t>Jumlah Dokumen Hasil Penelitian dan Pengembangan Komunikasi dan Informatika</t>
  </si>
  <si>
    <t>Pengembangan Inovasi dan Teknologi</t>
  </si>
  <si>
    <t>Persentase Perangkat Daerah Yang Memiliki Inovasi Layanan dan Pembangunan</t>
  </si>
  <si>
    <t>Diseminasi Jenis, Prosedur dan Metode Penyelenggaraan Pemerintahan Daerah Yang Bersifat Inovatif</t>
  </si>
  <si>
    <t>Jumlah Laporan Hasil Pelaksanaan Diseminasi Jenis, Prosedur dan Metode Penyelenggaraan Pemerintahan Daerah yang Bersifat Inovatif</t>
  </si>
  <si>
    <t>Fasilitasi Hak Kekayaan Intelektual</t>
  </si>
  <si>
    <t>Jumlah Laporan Pelaksanaan Fasilitasi Hak Kekayaan Intelektual</t>
  </si>
  <si>
    <t>Program Riset dan Inovasi Daerah</t>
  </si>
  <si>
    <t>Persentase Kebijakan Berbasis Bukti</t>
  </si>
  <si>
    <t>Indeks Inovasi Daerah</t>
  </si>
  <si>
    <t xml:space="preserve">Penelitian, Pengembangan Pengkajian dan Penerapan </t>
  </si>
  <si>
    <t>Persentase, Penelitian, Penegmbangan, Pengkajian, dan Penerapan yang Terlaksana</t>
  </si>
  <si>
    <t>Fasilitasi dan Pembinaan Pelaksanaan Penelitian, Pengembangan, Pengkajian dan Penerapan</t>
  </si>
  <si>
    <t xml:space="preserve">Jumlah Laporan Fasilitasi dan Pembinaan Pelaksanaan Penelitian, Pengmabangan, Pengkajian, dan Penerapan </t>
  </si>
  <si>
    <t>Invensi dan Inovasi</t>
  </si>
  <si>
    <t>Persentase Invensi dan Inovasi yang terlaksana</t>
  </si>
  <si>
    <t>Fasilitasi dan Pembinaan untuk Peningktan Perlindungan dan Pemanfaatan Kekayaan Intelektual</t>
  </si>
  <si>
    <t>Jumlah Laporan Fasilitasi dan Pembinaan untuk Peningkatan Perlindingan dan Pemanfaatan Kekayaan Intelektual (pelayihan perlinmdungan KI, fasilitas perlindungan KI)</t>
  </si>
  <si>
    <t>Fasilitasi dan Pembinaan untuk Apresiasi Prestasi Inovasi</t>
  </si>
  <si>
    <t>Jumlah Laporan Fasilitasi dan Pembinaan untuk Apresiasi Prestasi Inovasi</t>
  </si>
  <si>
    <t>Lubuk Pakam,      Desember 2025</t>
  </si>
  <si>
    <t>KEPALA BADAN PERENCANAAN PEMBANGUNAN</t>
  </si>
  <si>
    <t>DAERAH, PENELITIAN DAN PENGEMBANGAN</t>
  </si>
  <si>
    <t>KABUPATEN DELI SERDANG</t>
  </si>
  <si>
    <t xml:space="preserve">  </t>
  </si>
  <si>
    <t>Dr. Ir. REMUS HASIHOLAN PARDEDE, M.Si</t>
  </si>
  <si>
    <t>PEMBINA UTAMA MUDA</t>
  </si>
  <si>
    <t>NIP. 19660506 199203 1 004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</si>
</sst>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.00_);_(* \(#,##0.00\);_(* &quot;-&quot;_);_(@_)"/>
    <numFmt numFmtId="165" formatCode="_-* #,##0.00_-;\-* #,##0.00_-;_-* &quot;-&quot;??_-;_-@_-"/>
    <numFmt numFmtId="166" formatCode="_-* #,##0_-;\-* #,##0_-;_-* &quot;-&quot;??_-;_-@_-"/>
  </numFmts>
  <fonts count="3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6"/>
      <color theme="1"/>
      <name val="Cambria"/>
      <family val="1"/>
      <scheme val="major"/>
    </font>
    <font>
      <sz val="11"/>
      <color theme="1"/>
      <name val="Arial Narrow"/>
      <family val="2"/>
    </font>
    <font>
      <sz val="11"/>
      <color theme="1"/>
      <name val="Arial Narrow"/>
      <family val="2"/>
      <charset val="1"/>
    </font>
    <font>
      <sz val="11"/>
      <name val="Arial Narrow"/>
      <family val="2"/>
    </font>
    <font>
      <sz val="9"/>
      <color theme="1"/>
      <name val="Arial Narrow"/>
      <family val="2"/>
    </font>
    <font>
      <b/>
      <sz val="12"/>
      <color theme="0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charset val="1"/>
      <scheme val="minor"/>
    </font>
    <font>
      <i/>
      <sz val="10"/>
      <color indexed="8"/>
      <name val="Arial"/>
      <family val="2"/>
    </font>
    <font>
      <i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i/>
      <sz val="11"/>
      <name val="Calibri"/>
      <family val="2"/>
      <charset val="1"/>
      <scheme val="minor"/>
    </font>
    <font>
      <b/>
      <sz val="10"/>
      <name val="Arial"/>
      <family val="2"/>
    </font>
    <font>
      <sz val="10"/>
      <name val="Arial"/>
      <family val="2"/>
    </font>
    <font>
      <sz val="16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u/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3" fontId="3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1" fontId="4" fillId="2" borderId="0" xfId="2" applyFont="1" applyFill="1" applyBorder="1" applyAlignment="1">
      <alignment horizontal="center" vertical="center"/>
    </xf>
    <xf numFmtId="9" fontId="3" fillId="2" borderId="0" xfId="0" applyNumberFormat="1" applyFont="1" applyFill="1" applyAlignment="1">
      <alignment vertical="center"/>
    </xf>
    <xf numFmtId="41" fontId="3" fillId="2" borderId="0" xfId="2" applyFont="1" applyFill="1" applyBorder="1" applyAlignment="1">
      <alignment vertical="center"/>
    </xf>
    <xf numFmtId="1" fontId="3" fillId="2" borderId="0" xfId="0" applyNumberFormat="1" applyFont="1" applyFill="1" applyAlignment="1">
      <alignment vertical="center"/>
    </xf>
    <xf numFmtId="1" fontId="3" fillId="2" borderId="0" xfId="0" applyNumberFormat="1" applyFont="1" applyFill="1" applyAlignment="1">
      <alignment horizontal="right" vertical="center"/>
    </xf>
    <xf numFmtId="9" fontId="3" fillId="2" borderId="0" xfId="3" applyFont="1" applyFill="1" applyBorder="1" applyAlignment="1">
      <alignment vertical="center"/>
    </xf>
    <xf numFmtId="3" fontId="5" fillId="2" borderId="0" xfId="0" applyNumberFormat="1" applyFont="1" applyFill="1" applyAlignment="1">
      <alignment horizontal="right" vertical="center"/>
    </xf>
    <xf numFmtId="0" fontId="6" fillId="2" borderId="0" xfId="2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2" borderId="1" xfId="0" applyFill="1" applyBorder="1"/>
    <xf numFmtId="0" fontId="7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1" fontId="4" fillId="2" borderId="1" xfId="2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9" fontId="3" fillId="2" borderId="1" xfId="0" applyNumberFormat="1" applyFont="1" applyFill="1" applyBorder="1" applyAlignment="1">
      <alignment vertical="center"/>
    </xf>
    <xf numFmtId="41" fontId="3" fillId="2" borderId="1" xfId="2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right" vertical="center"/>
    </xf>
    <xf numFmtId="9" fontId="3" fillId="2" borderId="1" xfId="3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9" fontId="8" fillId="2" borderId="5" xfId="0" applyNumberFormat="1" applyFont="1" applyFill="1" applyBorder="1" applyAlignment="1">
      <alignment horizontal="center" vertical="center"/>
    </xf>
    <xf numFmtId="41" fontId="8" fillId="2" borderId="5" xfId="2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9" fontId="8" fillId="2" borderId="5" xfId="3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center" vertical="center" wrapText="1"/>
    </xf>
    <xf numFmtId="41" fontId="11" fillId="3" borderId="7" xfId="0" applyNumberFormat="1" applyFont="1" applyFill="1" applyBorder="1" applyAlignment="1">
      <alignment horizontal="center" vertical="top" wrapText="1"/>
    </xf>
    <xf numFmtId="3" fontId="10" fillId="3" borderId="9" xfId="2" applyNumberFormat="1" applyFont="1" applyFill="1" applyBorder="1" applyAlignment="1">
      <alignment vertical="top"/>
    </xf>
    <xf numFmtId="41" fontId="10" fillId="3" borderId="7" xfId="2" applyFont="1" applyFill="1" applyBorder="1" applyAlignment="1">
      <alignment horizontal="center" vertical="top" wrapText="1"/>
    </xf>
    <xf numFmtId="3" fontId="10" fillId="3" borderId="3" xfId="2" applyNumberFormat="1" applyFont="1" applyFill="1" applyBorder="1" applyAlignment="1">
      <alignment vertical="top"/>
    </xf>
    <xf numFmtId="0" fontId="9" fillId="3" borderId="3" xfId="0" applyFont="1" applyFill="1" applyBorder="1" applyAlignment="1">
      <alignment horizontal="right" vertical="top"/>
    </xf>
    <xf numFmtId="3" fontId="9" fillId="3" borderId="3" xfId="0" applyNumberFormat="1" applyFont="1" applyFill="1" applyBorder="1" applyAlignment="1">
      <alignment horizontal="right" vertical="top"/>
    </xf>
    <xf numFmtId="9" fontId="9" fillId="3" borderId="3" xfId="0" applyNumberFormat="1" applyFont="1" applyFill="1" applyBorder="1" applyAlignment="1">
      <alignment horizontal="right" vertical="top"/>
    </xf>
    <xf numFmtId="41" fontId="9" fillId="3" borderId="3" xfId="2" applyFont="1" applyFill="1" applyBorder="1" applyAlignment="1">
      <alignment horizontal="right" vertical="top"/>
    </xf>
    <xf numFmtId="1" fontId="9" fillId="3" borderId="3" xfId="0" applyNumberFormat="1" applyFont="1" applyFill="1" applyBorder="1" applyAlignment="1">
      <alignment horizontal="right" vertical="top"/>
    </xf>
    <xf numFmtId="1" fontId="9" fillId="3" borderId="3" xfId="0" applyNumberFormat="1" applyFont="1" applyFill="1" applyBorder="1" applyAlignment="1">
      <alignment horizontal="right" vertical="center"/>
    </xf>
    <xf numFmtId="9" fontId="9" fillId="3" borderId="3" xfId="3" applyFont="1" applyFill="1" applyBorder="1" applyAlignment="1">
      <alignment vertical="center"/>
    </xf>
    <xf numFmtId="3" fontId="9" fillId="3" borderId="3" xfId="0" applyNumberFormat="1" applyFont="1" applyFill="1" applyBorder="1" applyAlignment="1">
      <alignment horizontal="right" vertical="center"/>
    </xf>
    <xf numFmtId="0" fontId="9" fillId="3" borderId="3" xfId="0" applyFont="1" applyFill="1" applyBorder="1" applyAlignment="1">
      <alignment horizontal="right" vertical="center"/>
    </xf>
    <xf numFmtId="9" fontId="9" fillId="3" borderId="3" xfId="3" applyFont="1" applyFill="1" applyBorder="1" applyAlignment="1">
      <alignment horizontal="right" vertical="center"/>
    </xf>
    <xf numFmtId="0" fontId="9" fillId="3" borderId="7" xfId="2" applyNumberFormat="1" applyFont="1" applyFill="1" applyBorder="1" applyAlignment="1">
      <alignment horizontal="right" vertical="center"/>
    </xf>
    <xf numFmtId="41" fontId="9" fillId="3" borderId="8" xfId="2" applyFont="1" applyFill="1" applyBorder="1" applyAlignment="1">
      <alignment horizontal="center" vertical="center"/>
    </xf>
    <xf numFmtId="41" fontId="9" fillId="3" borderId="7" xfId="2" applyFont="1" applyFill="1" applyBorder="1" applyAlignment="1">
      <alignment horizontal="center" vertical="center"/>
    </xf>
    <xf numFmtId="4" fontId="9" fillId="3" borderId="7" xfId="2" applyNumberFormat="1" applyFont="1" applyFill="1" applyBorder="1" applyAlignment="1">
      <alignment horizontal="center" vertical="center"/>
    </xf>
    <xf numFmtId="164" fontId="9" fillId="3" borderId="7" xfId="2" applyNumberFormat="1" applyFont="1" applyFill="1" applyBorder="1" applyAlignment="1">
      <alignment horizontal="center" vertical="center"/>
    </xf>
    <xf numFmtId="0" fontId="1" fillId="3" borderId="0" xfId="0" applyFont="1" applyFill="1"/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center"/>
    </xf>
    <xf numFmtId="0" fontId="9" fillId="4" borderId="7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center" vertical="center" wrapText="1"/>
    </xf>
    <xf numFmtId="41" fontId="11" fillId="4" borderId="7" xfId="0" applyNumberFormat="1" applyFont="1" applyFill="1" applyBorder="1" applyAlignment="1">
      <alignment vertical="center" wrapText="1"/>
    </xf>
    <xf numFmtId="41" fontId="9" fillId="4" borderId="7" xfId="0" applyNumberFormat="1" applyFont="1" applyFill="1" applyBorder="1" applyAlignment="1">
      <alignment horizontal="right" vertical="center"/>
    </xf>
    <xf numFmtId="41" fontId="10" fillId="4" borderId="7" xfId="2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right" vertical="center"/>
    </xf>
    <xf numFmtId="9" fontId="9" fillId="4" borderId="13" xfId="0" applyNumberFormat="1" applyFont="1" applyFill="1" applyBorder="1" applyAlignment="1">
      <alignment horizontal="right" vertical="center"/>
    </xf>
    <xf numFmtId="41" fontId="9" fillId="4" borderId="13" xfId="2" applyFont="1" applyFill="1" applyBorder="1" applyAlignment="1">
      <alignment vertical="center"/>
    </xf>
    <xf numFmtId="41" fontId="9" fillId="4" borderId="13" xfId="0" applyNumberFormat="1" applyFont="1" applyFill="1" applyBorder="1" applyAlignment="1">
      <alignment horizontal="right" vertical="center"/>
    </xf>
    <xf numFmtId="41" fontId="9" fillId="4" borderId="13" xfId="0" applyNumberFormat="1" applyFont="1" applyFill="1" applyBorder="1" applyAlignment="1">
      <alignment vertical="center"/>
    </xf>
    <xf numFmtId="1" fontId="9" fillId="4" borderId="7" xfId="0" applyNumberFormat="1" applyFont="1" applyFill="1" applyBorder="1" applyAlignment="1">
      <alignment horizontal="right" vertical="center"/>
    </xf>
    <xf numFmtId="9" fontId="9" fillId="4" borderId="7" xfId="3" applyFont="1" applyFill="1" applyBorder="1" applyAlignment="1">
      <alignment vertical="center"/>
    </xf>
    <xf numFmtId="3" fontId="9" fillId="4" borderId="13" xfId="0" applyNumberFormat="1" applyFont="1" applyFill="1" applyBorder="1" applyAlignment="1">
      <alignment horizontal="right" vertical="center"/>
    </xf>
    <xf numFmtId="9" fontId="9" fillId="4" borderId="7" xfId="3" applyFont="1" applyFill="1" applyBorder="1" applyAlignment="1">
      <alignment horizontal="right" vertical="center"/>
    </xf>
    <xf numFmtId="166" fontId="9" fillId="4" borderId="13" xfId="1" applyNumberFormat="1" applyFont="1" applyFill="1" applyBorder="1" applyAlignment="1">
      <alignment horizontal="right" vertical="center"/>
    </xf>
    <xf numFmtId="0" fontId="9" fillId="4" borderId="7" xfId="2" applyNumberFormat="1" applyFont="1" applyFill="1" applyBorder="1" applyAlignment="1">
      <alignment horizontal="right" vertical="center"/>
    </xf>
    <xf numFmtId="41" fontId="9" fillId="4" borderId="8" xfId="2" applyFont="1" applyFill="1" applyBorder="1" applyAlignment="1">
      <alignment horizontal="center" vertical="center"/>
    </xf>
    <xf numFmtId="41" fontId="9" fillId="4" borderId="7" xfId="2" applyFont="1" applyFill="1" applyBorder="1" applyAlignment="1">
      <alignment horizontal="center" vertical="center"/>
    </xf>
    <xf numFmtId="164" fontId="9" fillId="4" borderId="7" xfId="2" applyNumberFormat="1" applyFont="1" applyFill="1" applyBorder="1" applyAlignment="1">
      <alignment horizontal="center" vertical="center"/>
    </xf>
    <xf numFmtId="0" fontId="12" fillId="4" borderId="0" xfId="0" applyFont="1" applyFill="1"/>
    <xf numFmtId="0" fontId="13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top"/>
    </xf>
    <xf numFmtId="0" fontId="10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41" fontId="11" fillId="5" borderId="7" xfId="0" applyNumberFormat="1" applyFont="1" applyFill="1" applyBorder="1" applyAlignment="1">
      <alignment vertical="center" wrapText="1"/>
    </xf>
    <xf numFmtId="41" fontId="9" fillId="5" borderId="7" xfId="0" applyNumberFormat="1" applyFont="1" applyFill="1" applyBorder="1" applyAlignment="1">
      <alignment horizontal="right" vertical="center"/>
    </xf>
    <xf numFmtId="41" fontId="10" fillId="5" borderId="7" xfId="2" applyFont="1" applyFill="1" applyBorder="1" applyAlignment="1">
      <alignment vertical="center" wrapText="1"/>
    </xf>
    <xf numFmtId="0" fontId="9" fillId="5" borderId="7" xfId="0" applyFont="1" applyFill="1" applyBorder="1" applyAlignment="1">
      <alignment horizontal="right" vertical="center"/>
    </xf>
    <xf numFmtId="9" fontId="9" fillId="5" borderId="13" xfId="0" applyNumberFormat="1" applyFont="1" applyFill="1" applyBorder="1" applyAlignment="1">
      <alignment horizontal="right" vertical="center"/>
    </xf>
    <xf numFmtId="166" fontId="9" fillId="5" borderId="13" xfId="1" applyNumberFormat="1" applyFont="1" applyFill="1" applyBorder="1" applyAlignment="1">
      <alignment horizontal="right" vertical="center"/>
    </xf>
    <xf numFmtId="41" fontId="9" fillId="5" borderId="13" xfId="0" applyNumberFormat="1" applyFont="1" applyFill="1" applyBorder="1" applyAlignment="1">
      <alignment horizontal="right" vertical="center"/>
    </xf>
    <xf numFmtId="1" fontId="9" fillId="5" borderId="7" xfId="0" applyNumberFormat="1" applyFont="1" applyFill="1" applyBorder="1" applyAlignment="1">
      <alignment horizontal="right" vertical="center"/>
    </xf>
    <xf numFmtId="9" fontId="9" fillId="5" borderId="7" xfId="3" applyFont="1" applyFill="1" applyBorder="1" applyAlignment="1">
      <alignment vertical="center"/>
    </xf>
    <xf numFmtId="9" fontId="9" fillId="5" borderId="7" xfId="3" applyFont="1" applyFill="1" applyBorder="1" applyAlignment="1">
      <alignment horizontal="right" vertical="center"/>
    </xf>
    <xf numFmtId="0" fontId="9" fillId="5" borderId="7" xfId="2" applyNumberFormat="1" applyFont="1" applyFill="1" applyBorder="1" applyAlignment="1">
      <alignment horizontal="right" vertical="center"/>
    </xf>
    <xf numFmtId="41" fontId="9" fillId="5" borderId="13" xfId="2" applyFont="1" applyFill="1" applyBorder="1" applyAlignment="1">
      <alignment horizontal="right" vertical="center"/>
    </xf>
    <xf numFmtId="41" fontId="9" fillId="5" borderId="8" xfId="2" applyFont="1" applyFill="1" applyBorder="1" applyAlignment="1">
      <alignment horizontal="center" vertical="center"/>
    </xf>
    <xf numFmtId="41" fontId="9" fillId="5" borderId="7" xfId="2" applyFont="1" applyFill="1" applyBorder="1" applyAlignment="1">
      <alignment horizontal="center" vertical="center"/>
    </xf>
    <xf numFmtId="164" fontId="9" fillId="5" borderId="7" xfId="2" applyNumberFormat="1" applyFont="1" applyFill="1" applyBorder="1" applyAlignment="1">
      <alignment horizontal="center" vertical="center"/>
    </xf>
    <xf numFmtId="0" fontId="1" fillId="6" borderId="0" xfId="0" applyFont="1" applyFill="1"/>
    <xf numFmtId="0" fontId="8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center" wrapText="1"/>
    </xf>
    <xf numFmtId="0" fontId="10" fillId="7" borderId="7" xfId="0" applyFont="1" applyFill="1" applyBorder="1" applyAlignment="1">
      <alignment horizontal="left" vertical="top" wrapText="1"/>
    </xf>
    <xf numFmtId="0" fontId="10" fillId="7" borderId="7" xfId="0" applyFont="1" applyFill="1" applyBorder="1" applyAlignment="1">
      <alignment horizontal="left" vertical="center" wrapText="1"/>
    </xf>
    <xf numFmtId="0" fontId="10" fillId="7" borderId="7" xfId="0" applyFont="1" applyFill="1" applyBorder="1" applyAlignment="1">
      <alignment horizontal="center" vertical="center" wrapText="1"/>
    </xf>
    <xf numFmtId="41" fontId="11" fillId="7" borderId="8" xfId="2" applyFont="1" applyFill="1" applyBorder="1" applyAlignment="1">
      <alignment horizontal="center" vertical="center" wrapText="1"/>
    </xf>
    <xf numFmtId="41" fontId="9" fillId="7" borderId="7" xfId="2" applyFont="1" applyFill="1" applyBorder="1" applyAlignment="1">
      <alignment horizontal="right" vertical="center"/>
    </xf>
    <xf numFmtId="41" fontId="9" fillId="7" borderId="7" xfId="2" applyFont="1" applyFill="1" applyBorder="1" applyAlignment="1">
      <alignment horizontal="center" vertical="center"/>
    </xf>
    <xf numFmtId="1" fontId="9" fillId="7" borderId="7" xfId="2" applyNumberFormat="1" applyFont="1" applyFill="1" applyBorder="1" applyAlignment="1">
      <alignment horizontal="right" vertical="center"/>
    </xf>
    <xf numFmtId="9" fontId="9" fillId="7" borderId="9" xfId="2" applyNumberFormat="1" applyFont="1" applyFill="1" applyBorder="1" applyAlignment="1">
      <alignment horizontal="right" vertical="center"/>
    </xf>
    <xf numFmtId="1" fontId="9" fillId="7" borderId="8" xfId="2" applyNumberFormat="1" applyFont="1" applyFill="1" applyBorder="1" applyAlignment="1">
      <alignment horizontal="right" vertical="center"/>
    </xf>
    <xf numFmtId="41" fontId="9" fillId="7" borderId="8" xfId="2" applyFont="1" applyFill="1" applyBorder="1" applyAlignment="1">
      <alignment horizontal="center" vertical="center"/>
    </xf>
    <xf numFmtId="164" fontId="9" fillId="7" borderId="7" xfId="2" applyNumberFormat="1" applyFont="1" applyFill="1" applyBorder="1" applyAlignment="1">
      <alignment horizontal="center" vertical="center"/>
    </xf>
    <xf numFmtId="0" fontId="1" fillId="8" borderId="0" xfId="0" applyFont="1" applyFill="1"/>
    <xf numFmtId="2" fontId="14" fillId="9" borderId="0" xfId="0" applyNumberFormat="1" applyFont="1" applyFill="1"/>
    <xf numFmtId="0" fontId="15" fillId="9" borderId="7" xfId="0" applyFont="1" applyFill="1" applyBorder="1" applyAlignment="1">
      <alignment horizontal="left" vertical="top" wrapText="1"/>
    </xf>
    <xf numFmtId="0" fontId="15" fillId="9" borderId="7" xfId="0" applyFont="1" applyFill="1" applyBorder="1" applyAlignment="1">
      <alignment horizontal="left" vertical="center" wrapText="1"/>
    </xf>
    <xf numFmtId="0" fontId="15" fillId="9" borderId="7" xfId="0" applyFont="1" applyFill="1" applyBorder="1" applyAlignment="1">
      <alignment horizontal="center" vertical="center" wrapText="1"/>
    </xf>
    <xf numFmtId="41" fontId="16" fillId="9" borderId="8" xfId="2" applyFont="1" applyFill="1" applyBorder="1" applyAlignment="1">
      <alignment horizontal="center" vertical="center" wrapText="1"/>
    </xf>
    <xf numFmtId="41" fontId="15" fillId="9" borderId="14" xfId="2" applyFont="1" applyFill="1" applyBorder="1" applyAlignment="1">
      <alignment vertical="center"/>
    </xf>
    <xf numFmtId="41" fontId="17" fillId="9" borderId="7" xfId="2" applyFont="1" applyFill="1" applyBorder="1" applyAlignment="1">
      <alignment horizontal="center" vertical="center"/>
    </xf>
    <xf numFmtId="41" fontId="17" fillId="9" borderId="7" xfId="2" applyFont="1" applyFill="1" applyBorder="1" applyAlignment="1">
      <alignment horizontal="right" vertical="center"/>
    </xf>
    <xf numFmtId="1" fontId="17" fillId="9" borderId="7" xfId="2" applyNumberFormat="1" applyFont="1" applyFill="1" applyBorder="1" applyAlignment="1">
      <alignment horizontal="right" vertical="center"/>
    </xf>
    <xf numFmtId="9" fontId="17" fillId="9" borderId="8" xfId="2" applyNumberFormat="1" applyFont="1" applyFill="1" applyBorder="1" applyAlignment="1">
      <alignment horizontal="right" vertical="center"/>
    </xf>
    <xf numFmtId="166" fontId="15" fillId="9" borderId="14" xfId="1" applyNumberFormat="1" applyFont="1" applyFill="1" applyBorder="1" applyAlignment="1">
      <alignment vertical="center"/>
    </xf>
    <xf numFmtId="3" fontId="15" fillId="9" borderId="14" xfId="2" applyNumberFormat="1" applyFont="1" applyFill="1" applyBorder="1" applyAlignment="1">
      <alignment vertical="center"/>
    </xf>
    <xf numFmtId="9" fontId="17" fillId="9" borderId="8" xfId="2" applyNumberFormat="1" applyFont="1" applyFill="1" applyBorder="1" applyAlignment="1">
      <alignment vertical="center"/>
    </xf>
    <xf numFmtId="1" fontId="17" fillId="9" borderId="8" xfId="2" applyNumberFormat="1" applyFont="1" applyFill="1" applyBorder="1" applyAlignment="1">
      <alignment horizontal="right" vertical="center"/>
    </xf>
    <xf numFmtId="166" fontId="17" fillId="9" borderId="7" xfId="1" applyNumberFormat="1" applyFont="1" applyFill="1" applyBorder="1" applyAlignment="1">
      <alignment horizontal="right" vertical="center"/>
    </xf>
    <xf numFmtId="41" fontId="17" fillId="9" borderId="8" xfId="2" applyFont="1" applyFill="1" applyBorder="1" applyAlignment="1">
      <alignment horizontal="center" vertical="center"/>
    </xf>
    <xf numFmtId="164" fontId="17" fillId="9" borderId="7" xfId="2" applyNumberFormat="1" applyFont="1" applyFill="1" applyBorder="1" applyAlignment="1">
      <alignment horizontal="center" vertical="center"/>
    </xf>
    <xf numFmtId="0" fontId="14" fillId="9" borderId="0" xfId="0" applyFont="1" applyFill="1"/>
    <xf numFmtId="2" fontId="14" fillId="9" borderId="0" xfId="0" applyNumberFormat="1" applyFont="1" applyFill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top"/>
    </xf>
    <xf numFmtId="0" fontId="18" fillId="2" borderId="8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center" vertical="center" wrapText="1"/>
    </xf>
    <xf numFmtId="41" fontId="19" fillId="2" borderId="11" xfId="2" applyFont="1" applyFill="1" applyBorder="1" applyAlignment="1">
      <alignment horizontal="center" vertical="center" wrapText="1"/>
    </xf>
    <xf numFmtId="41" fontId="19" fillId="2" borderId="8" xfId="2" applyFont="1" applyFill="1" applyBorder="1" applyAlignment="1">
      <alignment vertical="center" wrapText="1"/>
    </xf>
    <xf numFmtId="41" fontId="18" fillId="2" borderId="8" xfId="2" applyFont="1" applyFill="1" applyBorder="1" applyAlignment="1">
      <alignment horizontal="center" vertical="center" wrapText="1"/>
    </xf>
    <xf numFmtId="41" fontId="18" fillId="2" borderId="11" xfId="2" applyFont="1" applyFill="1" applyBorder="1" applyAlignment="1">
      <alignment horizontal="right" vertical="center"/>
    </xf>
    <xf numFmtId="41" fontId="13" fillId="0" borderId="8" xfId="2" applyFont="1" applyBorder="1" applyAlignment="1">
      <alignment horizontal="right" vertical="center"/>
    </xf>
    <xf numFmtId="1" fontId="18" fillId="2" borderId="8" xfId="2" applyNumberFormat="1" applyFont="1" applyFill="1" applyBorder="1" applyAlignment="1">
      <alignment horizontal="right" vertical="center" wrapText="1"/>
    </xf>
    <xf numFmtId="9" fontId="18" fillId="2" borderId="11" xfId="3" applyFont="1" applyFill="1" applyBorder="1" applyAlignment="1">
      <alignment horizontal="right" vertical="center" wrapText="1"/>
    </xf>
    <xf numFmtId="166" fontId="18" fillId="2" borderId="11" xfId="1" applyNumberFormat="1" applyFont="1" applyFill="1" applyBorder="1" applyAlignment="1">
      <alignment horizontal="right" vertical="center"/>
    </xf>
    <xf numFmtId="9" fontId="18" fillId="2" borderId="13" xfId="2" applyNumberFormat="1" applyFont="1" applyFill="1" applyBorder="1" applyAlignment="1">
      <alignment horizontal="right" vertical="center" wrapText="1"/>
    </xf>
    <xf numFmtId="3" fontId="18" fillId="2" borderId="11" xfId="2" applyNumberFormat="1" applyFont="1" applyFill="1" applyBorder="1" applyAlignment="1">
      <alignment horizontal="right" vertical="center"/>
    </xf>
    <xf numFmtId="9" fontId="18" fillId="2" borderId="11" xfId="3" applyFont="1" applyFill="1" applyBorder="1" applyAlignment="1">
      <alignment vertical="center" wrapText="1"/>
    </xf>
    <xf numFmtId="1" fontId="13" fillId="2" borderId="8" xfId="2" applyNumberFormat="1" applyFont="1" applyFill="1" applyBorder="1" applyAlignment="1">
      <alignment horizontal="right" vertical="center"/>
    </xf>
    <xf numFmtId="166" fontId="13" fillId="2" borderId="8" xfId="1" applyNumberFormat="1" applyFont="1" applyFill="1" applyBorder="1" applyAlignment="1">
      <alignment horizontal="right" vertical="center"/>
    </xf>
    <xf numFmtId="41" fontId="13" fillId="2" borderId="8" xfId="2" applyFont="1" applyFill="1" applyBorder="1" applyAlignment="1">
      <alignment horizontal="center" vertical="center"/>
    </xf>
    <xf numFmtId="41" fontId="13" fillId="0" borderId="7" xfId="2" applyFont="1" applyFill="1" applyBorder="1" applyAlignment="1">
      <alignment horizontal="center" vertical="center"/>
    </xf>
    <xf numFmtId="164" fontId="13" fillId="0" borderId="7" xfId="2" applyNumberFormat="1" applyFont="1" applyFill="1" applyBorder="1" applyAlignment="1">
      <alignment horizontal="center" vertical="center"/>
    </xf>
    <xf numFmtId="166" fontId="1" fillId="2" borderId="0" xfId="0" applyNumberFormat="1" applyFont="1" applyFill="1"/>
    <xf numFmtId="0" fontId="13" fillId="0" borderId="8" xfId="0" applyFont="1" applyBorder="1" applyAlignment="1">
      <alignment horizontal="left" vertical="center"/>
    </xf>
    <xf numFmtId="0" fontId="19" fillId="2" borderId="11" xfId="2" applyNumberFormat="1" applyFont="1" applyFill="1" applyBorder="1" applyAlignment="1">
      <alignment vertical="center" wrapText="1"/>
    </xf>
    <xf numFmtId="9" fontId="18" fillId="2" borderId="11" xfId="2" applyNumberFormat="1" applyFont="1" applyFill="1" applyBorder="1" applyAlignment="1">
      <alignment horizontal="right" vertical="center" wrapText="1"/>
    </xf>
    <xf numFmtId="0" fontId="18" fillId="2" borderId="11" xfId="1" applyNumberFormat="1" applyFont="1" applyFill="1" applyBorder="1" applyAlignment="1">
      <alignment horizontal="right" vertical="center"/>
    </xf>
    <xf numFmtId="1" fontId="13" fillId="2" borderId="7" xfId="2" applyNumberFormat="1" applyFont="1" applyFill="1" applyBorder="1" applyAlignment="1">
      <alignment horizontal="right" vertical="center"/>
    </xf>
    <xf numFmtId="41" fontId="20" fillId="2" borderId="15" xfId="0" applyNumberFormat="1" applyFont="1" applyFill="1" applyBorder="1" applyAlignment="1">
      <alignment horizontal="right" vertical="center" wrapText="1"/>
    </xf>
    <xf numFmtId="1" fontId="13" fillId="2" borderId="12" xfId="2" applyNumberFormat="1" applyFont="1" applyFill="1" applyBorder="1" applyAlignment="1">
      <alignment horizontal="right" vertical="center"/>
    </xf>
    <xf numFmtId="41" fontId="13" fillId="2" borderId="8" xfId="2" applyFont="1" applyFill="1" applyBorder="1" applyAlignment="1">
      <alignment horizontal="right" vertical="center"/>
    </xf>
    <xf numFmtId="41" fontId="1" fillId="2" borderId="0" xfId="0" applyNumberFormat="1" applyFont="1" applyFill="1"/>
    <xf numFmtId="166" fontId="19" fillId="2" borderId="8" xfId="1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/>
    <xf numFmtId="1" fontId="1" fillId="2" borderId="0" xfId="0" applyNumberFormat="1" applyFont="1" applyFill="1"/>
    <xf numFmtId="1" fontId="13" fillId="2" borderId="8" xfId="2" applyNumberFormat="1" applyFont="1" applyFill="1" applyBorder="1" applyAlignment="1">
      <alignment vertical="center"/>
    </xf>
    <xf numFmtId="2" fontId="13" fillId="0" borderId="7" xfId="2" applyNumberFormat="1" applyFont="1" applyFill="1" applyBorder="1" applyAlignment="1">
      <alignment vertical="center"/>
    </xf>
    <xf numFmtId="0" fontId="15" fillId="9" borderId="8" xfId="0" applyFont="1" applyFill="1" applyBorder="1" applyAlignment="1">
      <alignment horizontal="left" vertical="top"/>
    </xf>
    <xf numFmtId="0" fontId="15" fillId="9" borderId="8" xfId="0" applyFont="1" applyFill="1" applyBorder="1" applyAlignment="1">
      <alignment horizontal="left" vertical="center" wrapText="1"/>
    </xf>
    <xf numFmtId="0" fontId="15" fillId="9" borderId="8" xfId="0" applyFont="1" applyFill="1" applyBorder="1" applyAlignment="1">
      <alignment horizontal="center" vertical="center" wrapText="1"/>
    </xf>
    <xf numFmtId="41" fontId="16" fillId="9" borderId="11" xfId="2" applyFont="1" applyFill="1" applyBorder="1" applyAlignment="1">
      <alignment horizontal="center" vertical="center" wrapText="1"/>
    </xf>
    <xf numFmtId="41" fontId="17" fillId="9" borderId="8" xfId="2" applyFont="1" applyFill="1" applyBorder="1" applyAlignment="1">
      <alignment horizontal="right" vertical="center"/>
    </xf>
    <xf numFmtId="41" fontId="15" fillId="9" borderId="8" xfId="2" applyFont="1" applyFill="1" applyBorder="1" applyAlignment="1">
      <alignment horizontal="center" vertical="center" wrapText="1"/>
    </xf>
    <xf numFmtId="41" fontId="15" fillId="9" borderId="11" xfId="2" applyFont="1" applyFill="1" applyBorder="1" applyAlignment="1">
      <alignment horizontal="right" vertical="center"/>
    </xf>
    <xf numFmtId="9" fontId="15" fillId="9" borderId="11" xfId="2" applyNumberFormat="1" applyFont="1" applyFill="1" applyBorder="1" applyAlignment="1">
      <alignment horizontal="right" vertical="center"/>
    </xf>
    <xf numFmtId="166" fontId="15" fillId="9" borderId="11" xfId="1" applyNumberFormat="1" applyFont="1" applyFill="1" applyBorder="1" applyAlignment="1">
      <alignment horizontal="right" vertical="center"/>
    </xf>
    <xf numFmtId="9" fontId="15" fillId="9" borderId="11" xfId="2" applyNumberFormat="1" applyFont="1" applyFill="1" applyBorder="1" applyAlignment="1">
      <alignment horizontal="right" vertical="center" wrapText="1"/>
    </xf>
    <xf numFmtId="3" fontId="15" fillId="9" borderId="11" xfId="2" applyNumberFormat="1" applyFont="1" applyFill="1" applyBorder="1" applyAlignment="1">
      <alignment horizontal="right" vertical="center"/>
    </xf>
    <xf numFmtId="1" fontId="15" fillId="9" borderId="8" xfId="2" applyNumberFormat="1" applyFont="1" applyFill="1" applyBorder="1" applyAlignment="1">
      <alignment horizontal="right" vertical="center" wrapText="1"/>
    </xf>
    <xf numFmtId="9" fontId="15" fillId="9" borderId="11" xfId="2" applyNumberFormat="1" applyFont="1" applyFill="1" applyBorder="1" applyAlignment="1">
      <alignment vertical="center" wrapText="1"/>
    </xf>
    <xf numFmtId="166" fontId="17" fillId="9" borderId="8" xfId="1" applyNumberFormat="1" applyFont="1" applyFill="1" applyBorder="1" applyAlignment="1">
      <alignment horizontal="right" vertical="center"/>
    </xf>
    <xf numFmtId="41" fontId="13" fillId="9" borderId="8" xfId="2" applyFont="1" applyFill="1" applyBorder="1" applyAlignment="1">
      <alignment horizontal="center" vertical="center"/>
    </xf>
    <xf numFmtId="164" fontId="13" fillId="9" borderId="7" xfId="2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top" wrapText="1"/>
    </xf>
    <xf numFmtId="0" fontId="10" fillId="9" borderId="8" xfId="0" applyFont="1" applyFill="1" applyBorder="1" applyAlignment="1">
      <alignment horizontal="left" vertical="top" wrapText="1"/>
    </xf>
    <xf numFmtId="0" fontId="15" fillId="9" borderId="8" xfId="2" applyNumberFormat="1" applyFont="1" applyFill="1" applyBorder="1" applyAlignment="1">
      <alignment vertical="center" wrapText="1"/>
    </xf>
    <xf numFmtId="0" fontId="15" fillId="9" borderId="11" xfId="2" applyNumberFormat="1" applyFont="1" applyFill="1" applyBorder="1" applyAlignment="1">
      <alignment vertical="center"/>
    </xf>
    <xf numFmtId="0" fontId="15" fillId="9" borderId="11" xfId="2" applyNumberFormat="1" applyFont="1" applyFill="1" applyBorder="1" applyAlignment="1">
      <alignment horizontal="right" vertical="center"/>
    </xf>
    <xf numFmtId="0" fontId="15" fillId="9" borderId="11" xfId="1" applyNumberFormat="1" applyFont="1" applyFill="1" applyBorder="1" applyAlignment="1">
      <alignment horizontal="right" vertical="center"/>
    </xf>
    <xf numFmtId="0" fontId="17" fillId="9" borderId="8" xfId="2" applyNumberFormat="1" applyFont="1" applyFill="1" applyBorder="1" applyAlignment="1">
      <alignment horizontal="right" vertical="center"/>
    </xf>
    <xf numFmtId="0" fontId="17" fillId="9" borderId="8" xfId="2" applyNumberFormat="1" applyFont="1" applyFill="1" applyBorder="1" applyAlignment="1">
      <alignment vertical="center"/>
    </xf>
    <xf numFmtId="0" fontId="17" fillId="9" borderId="7" xfId="2" applyNumberFormat="1" applyFont="1" applyFill="1" applyBorder="1" applyAlignment="1">
      <alignment vertical="center"/>
    </xf>
    <xf numFmtId="0" fontId="18" fillId="2" borderId="8" xfId="2" applyNumberFormat="1" applyFont="1" applyFill="1" applyBorder="1" applyAlignment="1">
      <alignment vertical="center" wrapText="1"/>
    </xf>
    <xf numFmtId="0" fontId="18" fillId="2" borderId="11" xfId="2" applyNumberFormat="1" applyFont="1" applyFill="1" applyBorder="1" applyAlignment="1">
      <alignment vertical="center"/>
    </xf>
    <xf numFmtId="0" fontId="18" fillId="2" borderId="8" xfId="2" applyNumberFormat="1" applyFont="1" applyFill="1" applyBorder="1" applyAlignment="1">
      <alignment horizontal="right" vertical="center" wrapText="1"/>
    </xf>
    <xf numFmtId="0" fontId="13" fillId="2" borderId="8" xfId="2" applyNumberFormat="1" applyFont="1" applyFill="1" applyBorder="1" applyAlignment="1">
      <alignment horizontal="right" vertical="center"/>
    </xf>
    <xf numFmtId="0" fontId="13" fillId="2" borderId="8" xfId="2" applyNumberFormat="1" applyFont="1" applyFill="1" applyBorder="1" applyAlignment="1">
      <alignment vertical="center"/>
    </xf>
    <xf numFmtId="0" fontId="13" fillId="0" borderId="7" xfId="2" applyNumberFormat="1" applyFont="1" applyFill="1" applyBorder="1" applyAlignment="1">
      <alignment vertical="center"/>
    </xf>
    <xf numFmtId="1" fontId="15" fillId="9" borderId="11" xfId="2" applyNumberFormat="1" applyFont="1" applyFill="1" applyBorder="1" applyAlignment="1">
      <alignment horizontal="right" vertical="center"/>
    </xf>
    <xf numFmtId="9" fontId="15" fillId="9" borderId="11" xfId="2" applyNumberFormat="1" applyFont="1" applyFill="1" applyBorder="1" applyAlignment="1">
      <alignment vertical="center"/>
    </xf>
    <xf numFmtId="41" fontId="15" fillId="2" borderId="11" xfId="2" applyFont="1" applyFill="1" applyBorder="1" applyAlignment="1">
      <alignment horizontal="right" vertical="center"/>
    </xf>
    <xf numFmtId="41" fontId="19" fillId="2" borderId="8" xfId="2" applyFont="1" applyFill="1" applyBorder="1" applyAlignment="1">
      <alignment horizontal="right" vertical="center" wrapText="1"/>
    </xf>
    <xf numFmtId="9" fontId="13" fillId="2" borderId="7" xfId="2" applyNumberFormat="1" applyFont="1" applyFill="1" applyBorder="1" applyAlignment="1">
      <alignment horizontal="right" vertical="center"/>
    </xf>
    <xf numFmtId="166" fontId="19" fillId="2" borderId="8" xfId="1" applyNumberFormat="1" applyFont="1" applyFill="1" applyBorder="1" applyAlignment="1">
      <alignment vertical="center" wrapText="1"/>
    </xf>
    <xf numFmtId="3" fontId="19" fillId="2" borderId="8" xfId="2" applyNumberFormat="1" applyFont="1" applyFill="1" applyBorder="1" applyAlignment="1">
      <alignment vertical="center" wrapText="1"/>
    </xf>
    <xf numFmtId="9" fontId="13" fillId="2" borderId="7" xfId="3" applyFont="1" applyFill="1" applyBorder="1" applyAlignment="1">
      <alignment vertical="center"/>
    </xf>
    <xf numFmtId="3" fontId="19" fillId="2" borderId="8" xfId="2" applyNumberFormat="1" applyFont="1" applyFill="1" applyBorder="1" applyAlignment="1">
      <alignment horizontal="right" vertical="center" wrapText="1"/>
    </xf>
    <xf numFmtId="166" fontId="18" fillId="2" borderId="9" xfId="1" applyNumberFormat="1" applyFont="1" applyFill="1" applyBorder="1" applyAlignment="1">
      <alignment vertical="center"/>
    </xf>
    <xf numFmtId="164" fontId="13" fillId="2" borderId="8" xfId="2" applyNumberFormat="1" applyFont="1" applyFill="1" applyBorder="1" applyAlignment="1">
      <alignment horizontal="center" vertical="center"/>
    </xf>
    <xf numFmtId="166" fontId="0" fillId="2" borderId="0" xfId="0" applyNumberFormat="1" applyFill="1"/>
    <xf numFmtId="0" fontId="0" fillId="2" borderId="0" xfId="0" applyFill="1"/>
    <xf numFmtId="41" fontId="13" fillId="0" borderId="8" xfId="2" applyFont="1" applyFill="1" applyBorder="1" applyAlignment="1">
      <alignment horizontal="right" vertical="center"/>
    </xf>
    <xf numFmtId="41" fontId="19" fillId="2" borderId="11" xfId="2" applyFont="1" applyFill="1" applyBorder="1" applyAlignment="1">
      <alignment vertical="center" wrapText="1"/>
    </xf>
    <xf numFmtId="0" fontId="18" fillId="2" borderId="11" xfId="2" applyNumberFormat="1" applyFont="1" applyFill="1" applyBorder="1" applyAlignment="1">
      <alignment horizontal="right" vertical="center"/>
    </xf>
    <xf numFmtId="3" fontId="18" fillId="0" borderId="11" xfId="2" applyNumberFormat="1" applyFont="1" applyFill="1" applyBorder="1" applyAlignment="1">
      <alignment horizontal="right" vertical="center"/>
    </xf>
    <xf numFmtId="166" fontId="13" fillId="0" borderId="8" xfId="1" applyNumberFormat="1" applyFont="1" applyFill="1" applyBorder="1" applyAlignment="1">
      <alignment horizontal="right" vertical="center"/>
    </xf>
    <xf numFmtId="166" fontId="13" fillId="2" borderId="8" xfId="1" applyNumberFormat="1" applyFont="1" applyFill="1" applyBorder="1" applyAlignment="1">
      <alignment vertical="center"/>
    </xf>
    <xf numFmtId="2" fontId="13" fillId="2" borderId="8" xfId="2" applyNumberFormat="1" applyFont="1" applyFill="1" applyBorder="1" applyAlignment="1">
      <alignment vertical="center"/>
    </xf>
    <xf numFmtId="0" fontId="17" fillId="9" borderId="8" xfId="1" applyNumberFormat="1" applyFont="1" applyFill="1" applyBorder="1" applyAlignment="1">
      <alignment horizontal="right" vertical="center"/>
    </xf>
    <xf numFmtId="3" fontId="17" fillId="9" borderId="8" xfId="2" applyNumberFormat="1" applyFont="1" applyFill="1" applyBorder="1" applyAlignment="1">
      <alignment horizontal="right" vertical="center"/>
    </xf>
    <xf numFmtId="164" fontId="17" fillId="9" borderId="8" xfId="2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left" vertical="top"/>
    </xf>
    <xf numFmtId="0" fontId="19" fillId="2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0" fontId="15" fillId="2" borderId="8" xfId="0" applyFont="1" applyFill="1" applyBorder="1" applyAlignment="1">
      <alignment horizontal="center" vertical="center" wrapText="1"/>
    </xf>
    <xf numFmtId="41" fontId="16" fillId="2" borderId="11" xfId="2" applyFont="1" applyFill="1" applyBorder="1" applyAlignment="1">
      <alignment horizontal="center" vertical="center" wrapText="1"/>
    </xf>
    <xf numFmtId="41" fontId="15" fillId="2" borderId="8" xfId="2" applyFont="1" applyFill="1" applyBorder="1" applyAlignment="1">
      <alignment horizontal="center" vertical="center" wrapText="1"/>
    </xf>
    <xf numFmtId="41" fontId="17" fillId="2" borderId="8" xfId="2" applyFont="1" applyFill="1" applyBorder="1" applyAlignment="1">
      <alignment horizontal="right" vertical="center"/>
    </xf>
    <xf numFmtId="0" fontId="14" fillId="2" borderId="0" xfId="0" applyFont="1" applyFill="1"/>
    <xf numFmtId="0" fontId="18" fillId="2" borderId="10" xfId="0" applyFont="1" applyFill="1" applyBorder="1" applyAlignment="1">
      <alignment horizontal="left" vertical="center" wrapText="1"/>
    </xf>
    <xf numFmtId="41" fontId="19" fillId="2" borderId="16" xfId="2" applyFont="1" applyFill="1" applyBorder="1" applyAlignment="1">
      <alignment horizontal="center" vertical="center" wrapText="1"/>
    </xf>
    <xf numFmtId="41" fontId="19" fillId="2" borderId="10" xfId="2" applyFont="1" applyFill="1" applyBorder="1" applyAlignment="1">
      <alignment vertical="center" wrapText="1"/>
    </xf>
    <xf numFmtId="41" fontId="18" fillId="2" borderId="10" xfId="2" applyFont="1" applyFill="1" applyBorder="1" applyAlignment="1">
      <alignment horizontal="center" vertical="center"/>
    </xf>
    <xf numFmtId="41" fontId="13" fillId="0" borderId="10" xfId="2" applyFont="1" applyBorder="1" applyAlignment="1">
      <alignment horizontal="right" vertical="center"/>
    </xf>
    <xf numFmtId="0" fontId="18" fillId="2" borderId="11" xfId="2" applyNumberFormat="1" applyFont="1" applyFill="1" applyBorder="1" applyAlignment="1">
      <alignment horizontal="right" vertical="center" wrapText="1"/>
    </xf>
    <xf numFmtId="0" fontId="18" fillId="2" borderId="10" xfId="1" applyNumberFormat="1" applyFont="1" applyFill="1" applyBorder="1" applyAlignment="1">
      <alignment horizontal="right" vertical="center"/>
    </xf>
    <xf numFmtId="3" fontId="18" fillId="2" borderId="10" xfId="2" applyNumberFormat="1" applyFont="1" applyFill="1" applyBorder="1" applyAlignment="1">
      <alignment horizontal="right" vertical="center"/>
    </xf>
    <xf numFmtId="41" fontId="18" fillId="2" borderId="10" xfId="2" applyFont="1" applyFill="1" applyBorder="1" applyAlignment="1">
      <alignment horizontal="right" vertical="center"/>
    </xf>
    <xf numFmtId="0" fontId="18" fillId="2" borderId="8" xfId="0" applyFont="1" applyFill="1" applyBorder="1" applyAlignment="1">
      <alignment horizontal="left" vertical="center"/>
    </xf>
    <xf numFmtId="166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1" fontId="13" fillId="0" borderId="10" xfId="2" applyFont="1" applyFill="1" applyBorder="1" applyAlignment="1">
      <alignment horizontal="center" vertical="center"/>
    </xf>
    <xf numFmtId="41" fontId="18" fillId="2" borderId="8" xfId="2" applyFont="1" applyFill="1" applyBorder="1" applyAlignment="1">
      <alignment horizontal="right" vertical="center" wrapText="1"/>
    </xf>
    <xf numFmtId="9" fontId="18" fillId="2" borderId="8" xfId="2" applyNumberFormat="1" applyFont="1" applyFill="1" applyBorder="1" applyAlignment="1">
      <alignment vertical="center" wrapText="1"/>
    </xf>
    <xf numFmtId="166" fontId="18" fillId="2" borderId="10" xfId="1" applyNumberFormat="1" applyFont="1" applyFill="1" applyBorder="1" applyAlignment="1">
      <alignment vertical="center"/>
    </xf>
    <xf numFmtId="3" fontId="18" fillId="2" borderId="10" xfId="2" applyNumberFormat="1" applyFont="1" applyFill="1" applyBorder="1" applyAlignment="1">
      <alignment vertical="center"/>
    </xf>
    <xf numFmtId="41" fontId="18" fillId="2" borderId="10" xfId="2" applyFont="1" applyFill="1" applyBorder="1" applyAlignment="1">
      <alignment vertical="center"/>
    </xf>
    <xf numFmtId="0" fontId="21" fillId="9" borderId="8" xfId="0" applyFont="1" applyFill="1" applyBorder="1" applyAlignment="1">
      <alignment horizontal="left" vertical="top"/>
    </xf>
    <xf numFmtId="0" fontId="21" fillId="9" borderId="8" xfId="0" applyFont="1" applyFill="1" applyBorder="1" applyAlignment="1">
      <alignment horizontal="left" vertical="center" wrapText="1"/>
    </xf>
    <xf numFmtId="0" fontId="21" fillId="9" borderId="8" xfId="0" applyFont="1" applyFill="1" applyBorder="1" applyAlignment="1">
      <alignment horizontal="center" vertical="center" wrapText="1"/>
    </xf>
    <xf numFmtId="41" fontId="21" fillId="9" borderId="11" xfId="2" applyFont="1" applyFill="1" applyBorder="1" applyAlignment="1">
      <alignment horizontal="center" vertical="center" wrapText="1"/>
    </xf>
    <xf numFmtId="41" fontId="21" fillId="9" borderId="8" xfId="2" applyFont="1" applyFill="1" applyBorder="1" applyAlignment="1">
      <alignment horizontal="right" vertical="center"/>
    </xf>
    <xf numFmtId="41" fontId="21" fillId="9" borderId="8" xfId="2" applyFont="1" applyFill="1" applyBorder="1" applyAlignment="1">
      <alignment horizontal="center" vertical="center" wrapText="1"/>
    </xf>
    <xf numFmtId="9" fontId="21" fillId="9" borderId="8" xfId="2" applyNumberFormat="1" applyFont="1" applyFill="1" applyBorder="1" applyAlignment="1">
      <alignment horizontal="right" vertical="center"/>
    </xf>
    <xf numFmtId="166" fontId="21" fillId="9" borderId="8" xfId="1" applyNumberFormat="1" applyFont="1" applyFill="1" applyBorder="1" applyAlignment="1">
      <alignment horizontal="right" vertical="center"/>
    </xf>
    <xf numFmtId="1" fontId="21" fillId="9" borderId="8" xfId="2" applyNumberFormat="1" applyFont="1" applyFill="1" applyBorder="1" applyAlignment="1">
      <alignment horizontal="right" vertical="center" wrapText="1"/>
    </xf>
    <xf numFmtId="3" fontId="21" fillId="9" borderId="8" xfId="2" applyNumberFormat="1" applyFont="1" applyFill="1" applyBorder="1" applyAlignment="1">
      <alignment horizontal="right" vertical="center"/>
    </xf>
    <xf numFmtId="9" fontId="21" fillId="9" borderId="8" xfId="2" applyNumberFormat="1" applyFont="1" applyFill="1" applyBorder="1" applyAlignment="1">
      <alignment vertical="center"/>
    </xf>
    <xf numFmtId="1" fontId="21" fillId="9" borderId="8" xfId="2" applyNumberFormat="1" applyFont="1" applyFill="1" applyBorder="1" applyAlignment="1">
      <alignment horizontal="right" vertical="center"/>
    </xf>
    <xf numFmtId="41" fontId="21" fillId="9" borderId="8" xfId="2" applyFont="1" applyFill="1" applyBorder="1" applyAlignment="1">
      <alignment horizontal="center" vertical="center"/>
    </xf>
    <xf numFmtId="164" fontId="21" fillId="9" borderId="8" xfId="2" applyNumberFormat="1" applyFont="1" applyFill="1" applyBorder="1" applyAlignment="1">
      <alignment horizontal="center" vertical="center"/>
    </xf>
    <xf numFmtId="0" fontId="22" fillId="9" borderId="0" xfId="0" applyFont="1" applyFill="1"/>
    <xf numFmtId="1" fontId="19" fillId="2" borderId="11" xfId="2" applyNumberFormat="1" applyFont="1" applyFill="1" applyBorder="1" applyAlignment="1">
      <alignment vertical="center" wrapText="1"/>
    </xf>
    <xf numFmtId="0" fontId="18" fillId="2" borderId="10" xfId="0" applyFont="1" applyFill="1" applyBorder="1" applyAlignment="1">
      <alignment vertical="center" wrapText="1"/>
    </xf>
    <xf numFmtId="41" fontId="19" fillId="2" borderId="7" xfId="2" applyFont="1" applyFill="1" applyBorder="1" applyAlignment="1">
      <alignment vertical="center" wrapText="1"/>
    </xf>
    <xf numFmtId="41" fontId="13" fillId="0" borderId="7" xfId="2" applyFont="1" applyBorder="1" applyAlignment="1">
      <alignment vertical="center"/>
    </xf>
    <xf numFmtId="9" fontId="18" fillId="2" borderId="7" xfId="2" applyNumberFormat="1" applyFont="1" applyFill="1" applyBorder="1" applyAlignment="1">
      <alignment vertical="center" wrapText="1"/>
    </xf>
    <xf numFmtId="0" fontId="18" fillId="2" borderId="7" xfId="1" applyNumberFormat="1" applyFont="1" applyFill="1" applyBorder="1" applyAlignment="1">
      <alignment vertical="center"/>
    </xf>
    <xf numFmtId="3" fontId="18" fillId="2" borderId="7" xfId="2" applyNumberFormat="1" applyFont="1" applyFill="1" applyBorder="1" applyAlignment="1">
      <alignment vertical="center"/>
    </xf>
    <xf numFmtId="41" fontId="18" fillId="2" borderId="7" xfId="2" applyFont="1" applyFill="1" applyBorder="1" applyAlignment="1">
      <alignment vertical="center"/>
    </xf>
    <xf numFmtId="0" fontId="18" fillId="2" borderId="8" xfId="0" applyFont="1" applyFill="1" applyBorder="1" applyAlignment="1">
      <alignment vertical="top" wrapText="1"/>
    </xf>
    <xf numFmtId="9" fontId="18" fillId="2" borderId="8" xfId="3" applyFont="1" applyFill="1" applyBorder="1" applyAlignment="1">
      <alignment vertical="center" wrapText="1"/>
    </xf>
    <xf numFmtId="9" fontId="18" fillId="2" borderId="8" xfId="3" applyFont="1" applyFill="1" applyBorder="1" applyAlignment="1">
      <alignment horizontal="right" vertical="center" wrapText="1"/>
    </xf>
    <xf numFmtId="166" fontId="18" fillId="2" borderId="12" xfId="1" applyNumberFormat="1" applyFont="1" applyFill="1" applyBorder="1" applyAlignment="1">
      <alignment vertical="center"/>
    </xf>
    <xf numFmtId="41" fontId="11" fillId="7" borderId="13" xfId="2" applyFont="1" applyFill="1" applyBorder="1" applyAlignment="1">
      <alignment horizontal="center" vertical="center" wrapText="1"/>
    </xf>
    <xf numFmtId="41" fontId="10" fillId="7" borderId="13" xfId="2" applyFont="1" applyFill="1" applyBorder="1" applyAlignment="1">
      <alignment horizontal="right" vertical="center"/>
    </xf>
    <xf numFmtId="41" fontId="10" fillId="7" borderId="7" xfId="2" applyFont="1" applyFill="1" applyBorder="1" applyAlignment="1">
      <alignment horizontal="center" vertical="center" wrapText="1"/>
    </xf>
    <xf numFmtId="1" fontId="10" fillId="7" borderId="7" xfId="2" applyNumberFormat="1" applyFont="1" applyFill="1" applyBorder="1" applyAlignment="1">
      <alignment horizontal="right" vertical="center" wrapText="1"/>
    </xf>
    <xf numFmtId="9" fontId="10" fillId="7" borderId="13" xfId="2" applyNumberFormat="1" applyFont="1" applyFill="1" applyBorder="1" applyAlignment="1">
      <alignment horizontal="right" vertical="center" wrapText="1"/>
    </xf>
    <xf numFmtId="166" fontId="10" fillId="7" borderId="13" xfId="1" applyNumberFormat="1" applyFont="1" applyFill="1" applyBorder="1" applyAlignment="1">
      <alignment horizontal="right" vertical="center"/>
    </xf>
    <xf numFmtId="3" fontId="10" fillId="7" borderId="13" xfId="2" applyNumberFormat="1" applyFont="1" applyFill="1" applyBorder="1" applyAlignment="1">
      <alignment horizontal="right" vertical="center"/>
    </xf>
    <xf numFmtId="9" fontId="10" fillId="7" borderId="13" xfId="2" applyNumberFormat="1" applyFont="1" applyFill="1" applyBorder="1" applyAlignment="1">
      <alignment vertical="center" wrapText="1"/>
    </xf>
    <xf numFmtId="166" fontId="9" fillId="7" borderId="7" xfId="1" applyNumberFormat="1" applyFont="1" applyFill="1" applyBorder="1" applyAlignment="1">
      <alignment horizontal="right" vertical="center"/>
    </xf>
    <xf numFmtId="0" fontId="12" fillId="7" borderId="0" xfId="0" applyFont="1" applyFill="1"/>
    <xf numFmtId="41" fontId="16" fillId="9" borderId="8" xfId="2" applyFont="1" applyFill="1" applyBorder="1" applyAlignment="1">
      <alignment vertical="center" wrapText="1"/>
    </xf>
    <xf numFmtId="3" fontId="18" fillId="2" borderId="8" xfId="2" applyNumberFormat="1" applyFont="1" applyFill="1" applyBorder="1" applyAlignment="1">
      <alignment horizontal="right" vertical="center" wrapText="1"/>
    </xf>
    <xf numFmtId="41" fontId="15" fillId="9" borderId="8" xfId="2" applyFont="1" applyFill="1" applyBorder="1" applyAlignment="1">
      <alignment horizontal="right" vertical="center" wrapText="1"/>
    </xf>
    <xf numFmtId="0" fontId="18" fillId="2" borderId="8" xfId="0" applyFont="1" applyFill="1" applyBorder="1" applyAlignment="1">
      <alignment horizontal="left" vertical="top" wrapText="1"/>
    </xf>
    <xf numFmtId="9" fontId="18" fillId="2" borderId="8" xfId="2" applyNumberFormat="1" applyFont="1" applyFill="1" applyBorder="1" applyAlignment="1">
      <alignment horizontal="right" vertical="center" wrapText="1"/>
    </xf>
    <xf numFmtId="0" fontId="19" fillId="2" borderId="8" xfId="2" applyNumberFormat="1" applyFont="1" applyFill="1" applyBorder="1" applyAlignment="1">
      <alignment vertical="center" wrapText="1"/>
    </xf>
    <xf numFmtId="0" fontId="19" fillId="2" borderId="8" xfId="1" applyNumberFormat="1" applyFont="1" applyFill="1" applyBorder="1" applyAlignment="1">
      <alignment vertical="center" wrapText="1"/>
    </xf>
    <xf numFmtId="41" fontId="13" fillId="2" borderId="8" xfId="2" applyFont="1" applyFill="1" applyBorder="1" applyAlignment="1">
      <alignment vertical="center"/>
    </xf>
    <xf numFmtId="0" fontId="15" fillId="9" borderId="8" xfId="2" applyNumberFormat="1" applyFont="1" applyFill="1" applyBorder="1" applyAlignment="1">
      <alignment horizontal="right" vertical="center" wrapText="1"/>
    </xf>
    <xf numFmtId="0" fontId="18" fillId="2" borderId="8" xfId="0" applyFont="1" applyFill="1" applyBorder="1" applyAlignment="1">
      <alignment vertical="center" wrapText="1"/>
    </xf>
    <xf numFmtId="41" fontId="19" fillId="2" borderId="8" xfId="2" applyFont="1" applyFill="1" applyBorder="1" applyAlignment="1">
      <alignment horizontal="center" vertical="center" wrapText="1"/>
    </xf>
    <xf numFmtId="9" fontId="18" fillId="2" borderId="10" xfId="3" applyFont="1" applyFill="1" applyBorder="1" applyAlignment="1">
      <alignment horizontal="right" vertical="center" wrapText="1"/>
    </xf>
    <xf numFmtId="0" fontId="10" fillId="7" borderId="7" xfId="0" applyFont="1" applyFill="1" applyBorder="1" applyAlignment="1">
      <alignment horizontal="left" vertical="top"/>
    </xf>
    <xf numFmtId="9" fontId="10" fillId="7" borderId="7" xfId="2" applyNumberFormat="1" applyFont="1" applyFill="1" applyBorder="1" applyAlignment="1">
      <alignment horizontal="right" vertical="center" wrapText="1"/>
    </xf>
    <xf numFmtId="166" fontId="11" fillId="7" borderId="7" xfId="1" applyNumberFormat="1" applyFont="1" applyFill="1" applyBorder="1" applyAlignment="1">
      <alignment vertical="center" wrapText="1"/>
    </xf>
    <xf numFmtId="3" fontId="11" fillId="7" borderId="7" xfId="2" applyNumberFormat="1" applyFont="1" applyFill="1" applyBorder="1" applyAlignment="1">
      <alignment vertical="center" wrapText="1"/>
    </xf>
    <xf numFmtId="9" fontId="10" fillId="7" borderId="7" xfId="2" applyNumberFormat="1" applyFont="1" applyFill="1" applyBorder="1" applyAlignment="1">
      <alignment vertical="center" wrapText="1"/>
    </xf>
    <xf numFmtId="9" fontId="10" fillId="7" borderId="8" xfId="2" applyNumberFormat="1" applyFont="1" applyFill="1" applyBorder="1" applyAlignment="1">
      <alignment vertical="center" wrapText="1"/>
    </xf>
    <xf numFmtId="0" fontId="12" fillId="8" borderId="0" xfId="0" applyFont="1" applyFill="1"/>
    <xf numFmtId="1" fontId="18" fillId="2" borderId="8" xfId="2" applyNumberFormat="1" applyFont="1" applyFill="1" applyBorder="1" applyAlignment="1">
      <alignment vertical="center" wrapText="1"/>
    </xf>
    <xf numFmtId="0" fontId="18" fillId="2" borderId="8" xfId="2" applyNumberFormat="1" applyFont="1" applyFill="1" applyBorder="1" applyAlignment="1">
      <alignment horizontal="center" vertical="center" wrapText="1"/>
    </xf>
    <xf numFmtId="41" fontId="15" fillId="9" borderId="8" xfId="2" applyFont="1" applyFill="1" applyBorder="1" applyAlignment="1">
      <alignment horizontal="center" vertical="center"/>
    </xf>
    <xf numFmtId="166" fontId="18" fillId="2" borderId="8" xfId="1" applyNumberFormat="1" applyFont="1" applyFill="1" applyBorder="1" applyAlignment="1">
      <alignment vertical="center"/>
    </xf>
    <xf numFmtId="0" fontId="18" fillId="2" borderId="6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2" borderId="7" xfId="0" applyFont="1" applyFill="1" applyBorder="1" applyAlignment="1">
      <alignment horizontal="center" vertical="center" wrapText="1"/>
    </xf>
    <xf numFmtId="41" fontId="19" fillId="2" borderId="6" xfId="2" applyFont="1" applyFill="1" applyBorder="1" applyAlignment="1">
      <alignment vertical="center" wrapText="1"/>
    </xf>
    <xf numFmtId="41" fontId="18" fillId="2" borderId="7" xfId="2" applyFont="1" applyFill="1" applyBorder="1" applyAlignment="1">
      <alignment horizontal="center" vertical="center" wrapText="1"/>
    </xf>
    <xf numFmtId="41" fontId="19" fillId="2" borderId="6" xfId="2" applyFont="1" applyFill="1" applyBorder="1" applyAlignment="1">
      <alignment horizontal="center" vertical="center" wrapText="1"/>
    </xf>
    <xf numFmtId="41" fontId="13" fillId="2" borderId="7" xfId="2" applyFont="1" applyFill="1" applyBorder="1" applyAlignment="1">
      <alignment horizontal="right" vertical="center"/>
    </xf>
    <xf numFmtId="41" fontId="13" fillId="2" borderId="6" xfId="2" applyFont="1" applyFill="1" applyBorder="1" applyAlignment="1">
      <alignment horizontal="center" vertical="center"/>
    </xf>
    <xf numFmtId="1" fontId="18" fillId="2" borderId="7" xfId="2" applyNumberFormat="1" applyFont="1" applyFill="1" applyBorder="1" applyAlignment="1">
      <alignment vertical="center" wrapText="1"/>
    </xf>
    <xf numFmtId="9" fontId="18" fillId="2" borderId="7" xfId="2" applyNumberFormat="1" applyFont="1" applyFill="1" applyBorder="1" applyAlignment="1">
      <alignment horizontal="right" vertical="center" wrapText="1"/>
    </xf>
    <xf numFmtId="0" fontId="19" fillId="2" borderId="6" xfId="1" applyNumberFormat="1" applyFont="1" applyFill="1" applyBorder="1" applyAlignment="1">
      <alignment horizontal="right" vertical="center" wrapText="1"/>
    </xf>
    <xf numFmtId="3" fontId="19" fillId="2" borderId="6" xfId="2" applyNumberFormat="1" applyFont="1" applyFill="1" applyBorder="1" applyAlignment="1">
      <alignment vertical="center" wrapText="1"/>
    </xf>
    <xf numFmtId="1" fontId="18" fillId="2" borderId="7" xfId="2" applyNumberFormat="1" applyFont="1" applyFill="1" applyBorder="1" applyAlignment="1">
      <alignment horizontal="right" vertical="center" wrapText="1"/>
    </xf>
    <xf numFmtId="9" fontId="18" fillId="2" borderId="7" xfId="3" applyFont="1" applyFill="1" applyBorder="1" applyAlignment="1">
      <alignment vertical="center" wrapText="1"/>
    </xf>
    <xf numFmtId="3" fontId="19" fillId="2" borderId="6" xfId="2" applyNumberFormat="1" applyFont="1" applyFill="1" applyBorder="1" applyAlignment="1">
      <alignment horizontal="right" vertical="center" wrapText="1"/>
    </xf>
    <xf numFmtId="9" fontId="18" fillId="2" borderId="7" xfId="3" applyFont="1" applyFill="1" applyBorder="1" applyAlignment="1">
      <alignment horizontal="right" vertical="center" wrapText="1"/>
    </xf>
    <xf numFmtId="41" fontId="18" fillId="2" borderId="6" xfId="2" applyFont="1" applyFill="1" applyBorder="1" applyAlignment="1">
      <alignment vertical="center"/>
    </xf>
    <xf numFmtId="41" fontId="13" fillId="2" borderId="7" xfId="2" applyFont="1" applyFill="1" applyBorder="1" applyAlignment="1">
      <alignment horizontal="center" vertical="center"/>
    </xf>
    <xf numFmtId="164" fontId="13" fillId="2" borderId="7" xfId="2" applyNumberFormat="1" applyFont="1" applyFill="1" applyBorder="1" applyAlignment="1">
      <alignment horizontal="center" vertical="center"/>
    </xf>
    <xf numFmtId="9" fontId="18" fillId="2" borderId="11" xfId="2" applyNumberFormat="1" applyFont="1" applyFill="1" applyBorder="1" applyAlignment="1">
      <alignment vertical="center" wrapText="1"/>
    </xf>
    <xf numFmtId="41" fontId="13" fillId="0" borderId="10" xfId="2" applyFont="1" applyBorder="1" applyAlignment="1">
      <alignment horizontal="center" vertical="center"/>
    </xf>
    <xf numFmtId="9" fontId="18" fillId="2" borderId="10" xfId="2" applyNumberFormat="1" applyFont="1" applyFill="1" applyBorder="1" applyAlignment="1">
      <alignment vertical="center" wrapText="1"/>
    </xf>
    <xf numFmtId="166" fontId="13" fillId="2" borderId="10" xfId="1" applyNumberFormat="1" applyFont="1" applyFill="1" applyBorder="1" applyAlignment="1">
      <alignment horizontal="right" vertical="center"/>
    </xf>
    <xf numFmtId="41" fontId="19" fillId="2" borderId="10" xfId="2" applyFont="1" applyFill="1" applyBorder="1" applyAlignment="1">
      <alignment horizontal="center" vertical="center" wrapText="1"/>
    </xf>
    <xf numFmtId="0" fontId="13" fillId="2" borderId="10" xfId="2" applyNumberFormat="1" applyFont="1" applyFill="1" applyBorder="1" applyAlignment="1">
      <alignment vertical="center"/>
    </xf>
    <xf numFmtId="0" fontId="19" fillId="2" borderId="10" xfId="1" applyNumberFormat="1" applyFont="1" applyFill="1" applyBorder="1" applyAlignment="1">
      <alignment horizontal="right" vertical="center" wrapText="1"/>
    </xf>
    <xf numFmtId="3" fontId="19" fillId="2" borderId="10" xfId="2" applyNumberFormat="1" applyFont="1" applyFill="1" applyBorder="1" applyAlignment="1">
      <alignment vertical="center" wrapText="1"/>
    </xf>
    <xf numFmtId="3" fontId="19" fillId="2" borderId="10" xfId="2" applyNumberFormat="1" applyFont="1" applyFill="1" applyBorder="1" applyAlignment="1">
      <alignment horizontal="right" vertical="center" wrapText="1"/>
    </xf>
    <xf numFmtId="1" fontId="19" fillId="2" borderId="10" xfId="1" applyNumberFormat="1" applyFont="1" applyFill="1" applyBorder="1" applyAlignment="1">
      <alignment vertical="center" wrapText="1"/>
    </xf>
    <xf numFmtId="0" fontId="18" fillId="2" borderId="10" xfId="1" applyNumberFormat="1" applyFont="1" applyFill="1" applyBorder="1" applyAlignment="1">
      <alignment vertical="center"/>
    </xf>
    <xf numFmtId="3" fontId="0" fillId="2" borderId="0" xfId="0" applyNumberFormat="1" applyFill="1"/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8" fillId="2" borderId="5" xfId="0" applyFont="1" applyFill="1" applyBorder="1" applyAlignment="1">
      <alignment horizontal="left" vertical="top"/>
    </xf>
    <xf numFmtId="0" fontId="18" fillId="2" borderId="5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center" vertical="center" wrapText="1"/>
    </xf>
    <xf numFmtId="41" fontId="19" fillId="2" borderId="17" xfId="2" applyFont="1" applyFill="1" applyBorder="1" applyAlignment="1">
      <alignment horizontal="center" vertical="center" wrapText="1"/>
    </xf>
    <xf numFmtId="41" fontId="19" fillId="2" borderId="5" xfId="2" applyFont="1" applyFill="1" applyBorder="1" applyAlignment="1">
      <alignment horizontal="center" vertical="center" wrapText="1"/>
    </xf>
    <xf numFmtId="41" fontId="18" fillId="2" borderId="5" xfId="2" applyFont="1" applyFill="1" applyBorder="1" applyAlignment="1">
      <alignment horizontal="center" vertical="center" wrapText="1"/>
    </xf>
    <xf numFmtId="41" fontId="13" fillId="0" borderId="5" xfId="2" applyFont="1" applyBorder="1" applyAlignment="1">
      <alignment horizontal="center" vertical="center"/>
    </xf>
    <xf numFmtId="41" fontId="13" fillId="0" borderId="5" xfId="2" applyFont="1" applyBorder="1" applyAlignment="1">
      <alignment horizontal="right" vertical="center"/>
    </xf>
    <xf numFmtId="1" fontId="18" fillId="2" borderId="5" xfId="2" applyNumberFormat="1" applyFont="1" applyFill="1" applyBorder="1" applyAlignment="1">
      <alignment vertical="center" wrapText="1"/>
    </xf>
    <xf numFmtId="9" fontId="18" fillId="2" borderId="17" xfId="2" applyNumberFormat="1" applyFont="1" applyFill="1" applyBorder="1" applyAlignment="1">
      <alignment horizontal="right" vertical="center" wrapText="1"/>
    </xf>
    <xf numFmtId="166" fontId="18" fillId="2" borderId="5" xfId="1" applyNumberFormat="1" applyFont="1" applyFill="1" applyBorder="1" applyAlignment="1">
      <alignment vertical="center"/>
    </xf>
    <xf numFmtId="3" fontId="18" fillId="2" borderId="5" xfId="2" applyNumberFormat="1" applyFont="1" applyFill="1" applyBorder="1" applyAlignment="1">
      <alignment horizontal="right" vertical="center"/>
    </xf>
    <xf numFmtId="1" fontId="18" fillId="2" borderId="5" xfId="2" applyNumberFormat="1" applyFont="1" applyFill="1" applyBorder="1" applyAlignment="1">
      <alignment horizontal="right" vertical="center" wrapText="1"/>
    </xf>
    <xf numFmtId="9" fontId="18" fillId="2" borderId="17" xfId="3" applyFont="1" applyFill="1" applyBorder="1" applyAlignment="1">
      <alignment vertical="center" wrapText="1"/>
    </xf>
    <xf numFmtId="3" fontId="18" fillId="2" borderId="5" xfId="2" applyNumberFormat="1" applyFont="1" applyFill="1" applyBorder="1" applyAlignment="1">
      <alignment vertical="center"/>
    </xf>
    <xf numFmtId="41" fontId="18" fillId="2" borderId="5" xfId="2" applyFont="1" applyFill="1" applyBorder="1" applyAlignment="1">
      <alignment vertical="center"/>
    </xf>
    <xf numFmtId="1" fontId="13" fillId="2" borderId="5" xfId="2" applyNumberFormat="1" applyFont="1" applyFill="1" applyBorder="1" applyAlignment="1">
      <alignment horizontal="right" vertical="center"/>
    </xf>
    <xf numFmtId="166" fontId="13" fillId="2" borderId="5" xfId="1" applyNumberFormat="1" applyFont="1" applyFill="1" applyBorder="1" applyAlignment="1">
      <alignment horizontal="right" vertical="center"/>
    </xf>
    <xf numFmtId="41" fontId="13" fillId="2" borderId="5" xfId="2" applyFont="1" applyFill="1" applyBorder="1" applyAlignment="1">
      <alignment horizontal="center" vertical="center"/>
    </xf>
    <xf numFmtId="164" fontId="13" fillId="2" borderId="5" xfId="2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top"/>
    </xf>
    <xf numFmtId="0" fontId="18" fillId="2" borderId="6" xfId="0" applyFont="1" applyFill="1" applyBorder="1" applyAlignment="1">
      <alignment vertical="center" wrapText="1"/>
    </xf>
    <xf numFmtId="41" fontId="19" fillId="2" borderId="13" xfId="2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left" vertical="top"/>
    </xf>
    <xf numFmtId="0" fontId="23" fillId="5" borderId="7" xfId="0" applyFont="1" applyFill="1" applyBorder="1" applyAlignment="1">
      <alignment horizontal="left" vertical="center" wrapText="1"/>
    </xf>
    <xf numFmtId="41" fontId="11" fillId="5" borderId="13" xfId="2" applyFont="1" applyFill="1" applyBorder="1" applyAlignment="1">
      <alignment horizontal="center" vertical="center" wrapText="1"/>
    </xf>
    <xf numFmtId="41" fontId="9" fillId="5" borderId="7" xfId="2" applyFont="1" applyFill="1" applyBorder="1" applyAlignment="1">
      <alignment horizontal="right" vertical="center"/>
    </xf>
    <xf numFmtId="41" fontId="10" fillId="5" borderId="7" xfId="2" applyFont="1" applyFill="1" applyBorder="1" applyAlignment="1">
      <alignment horizontal="center" vertical="center" wrapText="1"/>
    </xf>
    <xf numFmtId="0" fontId="10" fillId="5" borderId="7" xfId="2" applyNumberFormat="1" applyFont="1" applyFill="1" applyBorder="1" applyAlignment="1">
      <alignment horizontal="right" vertical="center" wrapText="1"/>
    </xf>
    <xf numFmtId="9" fontId="10" fillId="5" borderId="7" xfId="2" applyNumberFormat="1" applyFont="1" applyFill="1" applyBorder="1" applyAlignment="1">
      <alignment horizontal="right" vertical="center" wrapText="1"/>
    </xf>
    <xf numFmtId="0" fontId="11" fillId="5" borderId="7" xfId="1" applyNumberFormat="1" applyFont="1" applyFill="1" applyBorder="1" applyAlignment="1">
      <alignment vertical="center" wrapText="1"/>
    </xf>
    <xf numFmtId="1" fontId="10" fillId="5" borderId="7" xfId="2" applyNumberFormat="1" applyFont="1" applyFill="1" applyBorder="1" applyAlignment="1">
      <alignment horizontal="right" vertical="center" wrapText="1"/>
    </xf>
    <xf numFmtId="3" fontId="11" fillId="5" borderId="7" xfId="2" applyNumberFormat="1" applyFont="1" applyFill="1" applyBorder="1" applyAlignment="1">
      <alignment vertical="center" wrapText="1"/>
    </xf>
    <xf numFmtId="9" fontId="10" fillId="5" borderId="7" xfId="3" applyFont="1" applyFill="1" applyBorder="1" applyAlignment="1">
      <alignment vertical="center" wrapText="1"/>
    </xf>
    <xf numFmtId="9" fontId="10" fillId="5" borderId="7" xfId="3" applyFont="1" applyFill="1" applyBorder="1" applyAlignment="1">
      <alignment horizontal="right" vertical="center" wrapText="1"/>
    </xf>
    <xf numFmtId="41" fontId="11" fillId="5" borderId="7" xfId="2" applyFont="1" applyFill="1" applyBorder="1" applyAlignment="1">
      <alignment vertical="center" wrapText="1"/>
    </xf>
    <xf numFmtId="0" fontId="9" fillId="5" borderId="7" xfId="2" applyNumberFormat="1" applyFont="1" applyFill="1" applyBorder="1" applyAlignment="1">
      <alignment horizontal="center" vertical="center"/>
    </xf>
    <xf numFmtId="0" fontId="12" fillId="5" borderId="0" xfId="0" applyFont="1" applyFill="1"/>
    <xf numFmtId="0" fontId="10" fillId="7" borderId="8" xfId="0" applyFont="1" applyFill="1" applyBorder="1" applyAlignment="1">
      <alignment horizontal="left" vertical="top"/>
    </xf>
    <xf numFmtId="0" fontId="10" fillId="7" borderId="8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center" vertical="center" wrapText="1"/>
    </xf>
    <xf numFmtId="41" fontId="11" fillId="7" borderId="11" xfId="2" applyFont="1" applyFill="1" applyBorder="1" applyAlignment="1">
      <alignment horizontal="center" vertical="center" wrapText="1"/>
    </xf>
    <xf numFmtId="41" fontId="9" fillId="7" borderId="8" xfId="2" applyFont="1" applyFill="1" applyBorder="1" applyAlignment="1">
      <alignment horizontal="right" vertical="center"/>
    </xf>
    <xf numFmtId="1" fontId="10" fillId="7" borderId="8" xfId="2" applyNumberFormat="1" applyFont="1" applyFill="1" applyBorder="1" applyAlignment="1">
      <alignment horizontal="right" vertical="center" wrapText="1"/>
    </xf>
    <xf numFmtId="9" fontId="10" fillId="7" borderId="11" xfId="2" applyNumberFormat="1" applyFont="1" applyFill="1" applyBorder="1" applyAlignment="1">
      <alignment horizontal="right" vertical="center" wrapText="1"/>
    </xf>
    <xf numFmtId="0" fontId="10" fillId="7" borderId="11" xfId="1" applyNumberFormat="1" applyFont="1" applyFill="1" applyBorder="1" applyAlignment="1">
      <alignment horizontal="right" vertical="center"/>
    </xf>
    <xf numFmtId="3" fontId="10" fillId="7" borderId="11" xfId="2" applyNumberFormat="1" applyFont="1" applyFill="1" applyBorder="1" applyAlignment="1">
      <alignment horizontal="right" vertical="center"/>
    </xf>
    <xf numFmtId="9" fontId="10" fillId="7" borderId="11" xfId="2" applyNumberFormat="1" applyFont="1" applyFill="1" applyBorder="1" applyAlignment="1">
      <alignment vertical="center" wrapText="1"/>
    </xf>
    <xf numFmtId="164" fontId="9" fillId="7" borderId="8" xfId="2" applyNumberFormat="1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center" vertical="center" wrapText="1"/>
    </xf>
    <xf numFmtId="41" fontId="11" fillId="5" borderId="11" xfId="2" applyFont="1" applyFill="1" applyBorder="1" applyAlignment="1">
      <alignment horizontal="center" vertical="center" wrapText="1"/>
    </xf>
    <xf numFmtId="41" fontId="10" fillId="5" borderId="8" xfId="2" applyFont="1" applyFill="1" applyBorder="1" applyAlignment="1">
      <alignment horizontal="center" vertical="center" wrapText="1"/>
    </xf>
    <xf numFmtId="41" fontId="9" fillId="5" borderId="8" xfId="2" applyFont="1" applyFill="1" applyBorder="1" applyAlignment="1">
      <alignment horizontal="right" vertical="center"/>
    </xf>
    <xf numFmtId="0" fontId="10" fillId="5" borderId="8" xfId="2" applyNumberFormat="1" applyFont="1" applyFill="1" applyBorder="1" applyAlignment="1">
      <alignment horizontal="right" vertical="center" wrapText="1"/>
    </xf>
    <xf numFmtId="9" fontId="10" fillId="5" borderId="11" xfId="2" applyNumberFormat="1" applyFont="1" applyFill="1" applyBorder="1" applyAlignment="1">
      <alignment horizontal="right" vertical="center" wrapText="1"/>
    </xf>
    <xf numFmtId="166" fontId="10" fillId="5" borderId="11" xfId="1" applyNumberFormat="1" applyFont="1" applyFill="1" applyBorder="1" applyAlignment="1">
      <alignment horizontal="right" vertical="center"/>
    </xf>
    <xf numFmtId="1" fontId="10" fillId="5" borderId="8" xfId="2" applyNumberFormat="1" applyFont="1" applyFill="1" applyBorder="1" applyAlignment="1">
      <alignment horizontal="right" vertical="center" wrapText="1"/>
    </xf>
    <xf numFmtId="3" fontId="10" fillId="5" borderId="11" xfId="2" applyNumberFormat="1" applyFont="1" applyFill="1" applyBorder="1" applyAlignment="1">
      <alignment horizontal="right" vertical="center"/>
    </xf>
    <xf numFmtId="9" fontId="10" fillId="5" borderId="11" xfId="3" applyFont="1" applyFill="1" applyBorder="1" applyAlignment="1">
      <alignment vertical="center" wrapText="1"/>
    </xf>
    <xf numFmtId="9" fontId="10" fillId="5" borderId="11" xfId="3" applyFont="1" applyFill="1" applyBorder="1" applyAlignment="1">
      <alignment horizontal="right" vertical="center" wrapText="1"/>
    </xf>
    <xf numFmtId="0" fontId="9" fillId="5" borderId="8" xfId="2" applyNumberFormat="1" applyFont="1" applyFill="1" applyBorder="1" applyAlignment="1">
      <alignment horizontal="right" vertical="center"/>
    </xf>
    <xf numFmtId="166" fontId="9" fillId="5" borderId="8" xfId="1" applyNumberFormat="1" applyFont="1" applyFill="1" applyBorder="1" applyAlignment="1">
      <alignment horizontal="right" vertical="center"/>
    </xf>
    <xf numFmtId="0" fontId="9" fillId="5" borderId="8" xfId="2" applyNumberFormat="1" applyFont="1" applyFill="1" applyBorder="1" applyAlignment="1">
      <alignment vertical="center"/>
    </xf>
    <xf numFmtId="164" fontId="9" fillId="5" borderId="8" xfId="2" applyNumberFormat="1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 vertical="top" wrapText="1"/>
    </xf>
    <xf numFmtId="41" fontId="11" fillId="7" borderId="8" xfId="2" applyFont="1" applyFill="1" applyBorder="1" applyAlignment="1">
      <alignment vertical="center" wrapText="1"/>
    </xf>
    <xf numFmtId="41" fontId="10" fillId="7" borderId="8" xfId="2" applyFont="1" applyFill="1" applyBorder="1" applyAlignment="1">
      <alignment horizontal="center" vertical="center" wrapText="1"/>
    </xf>
    <xf numFmtId="0" fontId="10" fillId="7" borderId="8" xfId="2" applyNumberFormat="1" applyFont="1" applyFill="1" applyBorder="1" applyAlignment="1">
      <alignment horizontal="right" vertical="center" wrapText="1"/>
    </xf>
    <xf numFmtId="166" fontId="10" fillId="7" borderId="11" xfId="1" applyNumberFormat="1" applyFont="1" applyFill="1" applyBorder="1" applyAlignment="1">
      <alignment horizontal="right" vertical="center"/>
    </xf>
    <xf numFmtId="166" fontId="9" fillId="7" borderId="8" xfId="1" applyNumberFormat="1" applyFont="1" applyFill="1" applyBorder="1" applyAlignment="1">
      <alignment horizontal="right" vertical="center"/>
    </xf>
    <xf numFmtId="1" fontId="15" fillId="9" borderId="11" xfId="1" applyNumberFormat="1" applyFont="1" applyFill="1" applyBorder="1" applyAlignment="1">
      <alignment horizontal="right" vertical="center"/>
    </xf>
    <xf numFmtId="41" fontId="13" fillId="0" borderId="10" xfId="2" applyFont="1" applyFill="1" applyBorder="1" applyAlignment="1">
      <alignment vertical="center"/>
    </xf>
    <xf numFmtId="0" fontId="18" fillId="2" borderId="8" xfId="1" applyNumberFormat="1" applyFont="1" applyFill="1" applyBorder="1" applyAlignment="1">
      <alignment vertical="center"/>
    </xf>
    <xf numFmtId="0" fontId="4" fillId="0" borderId="7" xfId="0" applyFont="1" applyBorder="1" applyAlignment="1">
      <alignment horizontal="left" vertical="top" wrapText="1"/>
    </xf>
    <xf numFmtId="0" fontId="13" fillId="2" borderId="8" xfId="1" applyNumberFormat="1" applyFont="1" applyFill="1" applyBorder="1" applyAlignment="1">
      <alignment horizontal="right" vertical="center"/>
    </xf>
    <xf numFmtId="0" fontId="13" fillId="7" borderId="8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left" vertical="top"/>
    </xf>
    <xf numFmtId="0" fontId="10" fillId="7" borderId="10" xfId="0" applyFont="1" applyFill="1" applyBorder="1" applyAlignment="1">
      <alignment horizontal="left" vertical="center" wrapText="1"/>
    </xf>
    <xf numFmtId="9" fontId="10" fillId="7" borderId="8" xfId="0" applyNumberFormat="1" applyFont="1" applyFill="1" applyBorder="1" applyAlignment="1">
      <alignment horizontal="center" vertical="center" wrapText="1"/>
    </xf>
    <xf numFmtId="41" fontId="11" fillId="7" borderId="10" xfId="2" applyFont="1" applyFill="1" applyBorder="1" applyAlignment="1">
      <alignment horizontal="center" vertical="center" wrapText="1"/>
    </xf>
    <xf numFmtId="0" fontId="18" fillId="7" borderId="8" xfId="2" applyNumberFormat="1" applyFont="1" applyFill="1" applyBorder="1" applyAlignment="1">
      <alignment horizontal="right" vertical="center" wrapText="1"/>
    </xf>
    <xf numFmtId="0" fontId="10" fillId="7" borderId="7" xfId="0" applyFont="1" applyFill="1" applyBorder="1" applyAlignment="1">
      <alignment horizontal="left" vertical="center" wrapText="1"/>
    </xf>
    <xf numFmtId="41" fontId="11" fillId="7" borderId="7" xfId="2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8" fillId="9" borderId="10" xfId="0" applyFont="1" applyFill="1" applyBorder="1" applyAlignment="1">
      <alignment horizontal="left" vertical="top"/>
    </xf>
    <xf numFmtId="0" fontId="18" fillId="9" borderId="8" xfId="2" applyNumberFormat="1" applyFont="1" applyFill="1" applyBorder="1" applyAlignment="1">
      <alignment horizontal="right" vertical="center" wrapText="1"/>
    </xf>
    <xf numFmtId="0" fontId="18" fillId="9" borderId="11" xfId="2" applyNumberFormat="1" applyFont="1" applyFill="1" applyBorder="1" applyAlignment="1">
      <alignment horizontal="right" vertical="center"/>
    </xf>
    <xf numFmtId="41" fontId="13" fillId="9" borderId="8" xfId="2" applyFont="1" applyFill="1" applyBorder="1" applyAlignment="1">
      <alignment horizontal="right" vertical="center"/>
    </xf>
    <xf numFmtId="0" fontId="18" fillId="9" borderId="8" xfId="2" applyNumberFormat="1" applyFont="1" applyFill="1" applyBorder="1" applyAlignment="1">
      <alignment vertical="center" wrapText="1"/>
    </xf>
    <xf numFmtId="9" fontId="18" fillId="9" borderId="11" xfId="2" applyNumberFormat="1" applyFont="1" applyFill="1" applyBorder="1" applyAlignment="1">
      <alignment vertical="center" wrapText="1"/>
    </xf>
    <xf numFmtId="0" fontId="18" fillId="9" borderId="11" xfId="1" applyNumberFormat="1" applyFont="1" applyFill="1" applyBorder="1" applyAlignment="1">
      <alignment vertical="center"/>
    </xf>
    <xf numFmtId="1" fontId="18" fillId="9" borderId="8" xfId="2" applyNumberFormat="1" applyFont="1" applyFill="1" applyBorder="1" applyAlignment="1">
      <alignment vertical="center" wrapText="1"/>
    </xf>
    <xf numFmtId="9" fontId="18" fillId="9" borderId="11" xfId="2" applyNumberFormat="1" applyFont="1" applyFill="1" applyBorder="1" applyAlignment="1">
      <alignment horizontal="right" vertical="center" wrapText="1"/>
    </xf>
    <xf numFmtId="3" fontId="18" fillId="9" borderId="11" xfId="2" applyNumberFormat="1" applyFont="1" applyFill="1" applyBorder="1" applyAlignment="1">
      <alignment horizontal="right" vertical="center"/>
    </xf>
    <xf numFmtId="1" fontId="18" fillId="9" borderId="8" xfId="2" applyNumberFormat="1" applyFont="1" applyFill="1" applyBorder="1" applyAlignment="1">
      <alignment horizontal="right" vertical="center" wrapText="1"/>
    </xf>
    <xf numFmtId="9" fontId="18" fillId="9" borderId="11" xfId="3" applyFont="1" applyFill="1" applyBorder="1" applyAlignment="1">
      <alignment vertical="center" wrapText="1"/>
    </xf>
    <xf numFmtId="9" fontId="18" fillId="9" borderId="11" xfId="3" applyFont="1" applyFill="1" applyBorder="1" applyAlignment="1">
      <alignment horizontal="right" vertical="center" wrapText="1"/>
    </xf>
    <xf numFmtId="0" fontId="18" fillId="9" borderId="11" xfId="1" applyNumberFormat="1" applyFont="1" applyFill="1" applyBorder="1" applyAlignment="1">
      <alignment horizontal="right" vertical="center"/>
    </xf>
    <xf numFmtId="0" fontId="13" fillId="9" borderId="8" xfId="2" applyNumberFormat="1" applyFont="1" applyFill="1" applyBorder="1" applyAlignment="1">
      <alignment horizontal="right" vertical="center"/>
    </xf>
    <xf numFmtId="0" fontId="13" fillId="9" borderId="8" xfId="1" applyNumberFormat="1" applyFont="1" applyFill="1" applyBorder="1" applyAlignment="1">
      <alignment horizontal="right" vertical="center"/>
    </xf>
    <xf numFmtId="0" fontId="13" fillId="9" borderId="8" xfId="2" applyNumberFormat="1" applyFont="1" applyFill="1" applyBorder="1" applyAlignment="1">
      <alignment vertical="center"/>
    </xf>
    <xf numFmtId="0" fontId="13" fillId="9" borderId="10" xfId="2" applyNumberFormat="1" applyFont="1" applyFill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top"/>
    </xf>
    <xf numFmtId="0" fontId="18" fillId="2" borderId="11" xfId="1" applyNumberFormat="1" applyFont="1" applyFill="1" applyBorder="1" applyAlignment="1">
      <alignment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13" fillId="2" borderId="10" xfId="0" applyFont="1" applyFill="1" applyBorder="1" applyAlignment="1">
      <alignment vertical="center"/>
    </xf>
    <xf numFmtId="41" fontId="19" fillId="2" borderId="11" xfId="2" applyFont="1" applyFill="1" applyBorder="1" applyAlignment="1">
      <alignment horizontal="center" vertical="top" wrapText="1"/>
    </xf>
    <xf numFmtId="41" fontId="19" fillId="2" borderId="8" xfId="2" applyFont="1" applyFill="1" applyBorder="1" applyAlignment="1">
      <alignment vertical="top" wrapText="1"/>
    </xf>
    <xf numFmtId="41" fontId="24" fillId="2" borderId="8" xfId="2" applyFont="1" applyFill="1" applyBorder="1" applyAlignment="1" applyProtection="1">
      <alignment horizontal="center" vertical="top" wrapText="1"/>
      <protection locked="0"/>
    </xf>
    <xf numFmtId="41" fontId="18" fillId="2" borderId="11" xfId="2" applyFont="1" applyFill="1" applyBorder="1" applyAlignment="1">
      <alignment horizontal="right" vertical="top"/>
    </xf>
    <xf numFmtId="41" fontId="13" fillId="0" borderId="8" xfId="2" applyFont="1" applyBorder="1" applyAlignment="1">
      <alignment horizontal="right" vertical="top"/>
    </xf>
    <xf numFmtId="0" fontId="18" fillId="2" borderId="8" xfId="2" applyNumberFormat="1" applyFont="1" applyFill="1" applyBorder="1" applyAlignment="1">
      <alignment horizontal="right" vertical="top" wrapText="1"/>
    </xf>
    <xf numFmtId="9" fontId="18" fillId="2" borderId="11" xfId="2" applyNumberFormat="1" applyFont="1" applyFill="1" applyBorder="1" applyAlignment="1">
      <alignment horizontal="right" vertical="top" wrapText="1"/>
    </xf>
    <xf numFmtId="1" fontId="24" fillId="2" borderId="8" xfId="2" applyNumberFormat="1" applyFont="1" applyFill="1" applyBorder="1" applyAlignment="1" applyProtection="1">
      <alignment horizontal="right" vertical="top" wrapText="1"/>
      <protection locked="0"/>
    </xf>
    <xf numFmtId="9" fontId="24" fillId="2" borderId="11" xfId="2" applyNumberFormat="1" applyFont="1" applyFill="1" applyBorder="1" applyAlignment="1" applyProtection="1">
      <alignment horizontal="right" vertical="top" wrapText="1"/>
      <protection locked="0"/>
    </xf>
    <xf numFmtId="3" fontId="18" fillId="2" borderId="11" xfId="2" applyNumberFormat="1" applyFont="1" applyFill="1" applyBorder="1" applyAlignment="1">
      <alignment horizontal="right" vertical="top"/>
    </xf>
    <xf numFmtId="3" fontId="18" fillId="2" borderId="8" xfId="2" applyNumberFormat="1" applyFont="1" applyFill="1" applyBorder="1" applyAlignment="1">
      <alignment horizontal="right" vertical="center"/>
    </xf>
    <xf numFmtId="9" fontId="13" fillId="2" borderId="8" xfId="3" applyFont="1" applyFill="1" applyBorder="1" applyAlignment="1">
      <alignment horizontal="right" vertical="center"/>
    </xf>
    <xf numFmtId="41" fontId="13" fillId="2" borderId="10" xfId="2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13" fillId="2" borderId="20" xfId="0" applyFont="1" applyFill="1" applyBorder="1" applyAlignment="1">
      <alignment horizontal="right" vertical="center"/>
    </xf>
    <xf numFmtId="0" fontId="18" fillId="2" borderId="21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center" vertical="center" wrapText="1"/>
    </xf>
    <xf numFmtId="41" fontId="11" fillId="2" borderId="21" xfId="2" applyFont="1" applyFill="1" applyBorder="1" applyAlignment="1">
      <alignment vertical="center" wrapText="1"/>
    </xf>
    <xf numFmtId="41" fontId="10" fillId="2" borderId="21" xfId="2" applyFont="1" applyFill="1" applyBorder="1" applyAlignment="1">
      <alignment horizontal="right" vertical="center" indent="1"/>
    </xf>
    <xf numFmtId="41" fontId="10" fillId="2" borderId="21" xfId="2" applyFont="1" applyFill="1" applyBorder="1" applyAlignment="1">
      <alignment horizontal="center" vertical="center"/>
    </xf>
    <xf numFmtId="0" fontId="10" fillId="2" borderId="21" xfId="2" applyNumberFormat="1" applyFont="1" applyFill="1" applyBorder="1" applyAlignment="1">
      <alignment horizontal="right" vertical="center" indent="1"/>
    </xf>
    <xf numFmtId="9" fontId="10" fillId="2" borderId="21" xfId="2" applyNumberFormat="1" applyFont="1" applyFill="1" applyBorder="1" applyAlignment="1">
      <alignment horizontal="right" vertical="center" indent="1"/>
    </xf>
    <xf numFmtId="166" fontId="10" fillId="2" borderId="21" xfId="1" applyNumberFormat="1" applyFont="1" applyFill="1" applyBorder="1" applyAlignment="1">
      <alignment horizontal="right" vertical="center" indent="1"/>
    </xf>
    <xf numFmtId="1" fontId="10" fillId="2" borderId="21" xfId="2" applyNumberFormat="1" applyFont="1" applyFill="1" applyBorder="1" applyAlignment="1">
      <alignment horizontal="right" vertical="center" indent="1"/>
    </xf>
    <xf numFmtId="3" fontId="10" fillId="2" borderId="21" xfId="2" applyNumberFormat="1" applyFont="1" applyFill="1" applyBorder="1" applyAlignment="1">
      <alignment horizontal="right" vertical="center" indent="1"/>
    </xf>
    <xf numFmtId="1" fontId="10" fillId="2" borderId="21" xfId="2" applyNumberFormat="1" applyFont="1" applyFill="1" applyBorder="1" applyAlignment="1">
      <alignment horizontal="right" vertical="center"/>
    </xf>
    <xf numFmtId="9" fontId="10" fillId="2" borderId="21" xfId="3" applyFont="1" applyFill="1" applyBorder="1" applyAlignment="1">
      <alignment vertical="center"/>
    </xf>
    <xf numFmtId="0" fontId="13" fillId="2" borderId="21" xfId="2" applyNumberFormat="1" applyFont="1" applyFill="1" applyBorder="1" applyAlignment="1">
      <alignment horizontal="right" vertical="center"/>
    </xf>
    <xf numFmtId="9" fontId="13" fillId="2" borderId="21" xfId="3" applyFont="1" applyFill="1" applyBorder="1" applyAlignment="1">
      <alignment horizontal="right" vertical="center"/>
    </xf>
    <xf numFmtId="41" fontId="13" fillId="2" borderId="21" xfId="2" applyFont="1" applyFill="1" applyBorder="1" applyAlignment="1">
      <alignment horizontal="center" vertical="center"/>
    </xf>
    <xf numFmtId="164" fontId="9" fillId="2" borderId="22" xfId="2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9" fontId="3" fillId="0" borderId="0" xfId="0" applyNumberFormat="1" applyFont="1" applyAlignment="1">
      <alignment horizontal="left" vertical="center"/>
    </xf>
    <xf numFmtId="41" fontId="3" fillId="0" borderId="0" xfId="2" applyFont="1" applyBorder="1" applyAlignment="1">
      <alignment horizontal="left" vertical="center"/>
    </xf>
    <xf numFmtId="1" fontId="3" fillId="2" borderId="0" xfId="0" applyNumberFormat="1" applyFont="1" applyFill="1" applyAlignment="1">
      <alignment horizontal="left" vertical="center"/>
    </xf>
    <xf numFmtId="9" fontId="3" fillId="2" borderId="0" xfId="0" applyNumberFormat="1" applyFont="1" applyFill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9" fontId="3" fillId="0" borderId="0" xfId="3" applyFont="1" applyBorder="1" applyAlignment="1">
      <alignment vertical="center"/>
    </xf>
    <xf numFmtId="3" fontId="3" fillId="0" borderId="0" xfId="0" applyNumberFormat="1" applyFont="1" applyAlignment="1">
      <alignment horizontal="right" vertical="center"/>
    </xf>
    <xf numFmtId="9" fontId="3" fillId="0" borderId="0" xfId="3" applyFont="1" applyBorder="1" applyAlignment="1">
      <alignment horizontal="left" vertical="center"/>
    </xf>
    <xf numFmtId="3" fontId="3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41" fontId="8" fillId="0" borderId="0" xfId="2" applyFont="1" applyAlignment="1">
      <alignment vertical="center"/>
    </xf>
    <xf numFmtId="9" fontId="3" fillId="0" borderId="0" xfId="3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41" fontId="3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6" fillId="0" borderId="0" xfId="2" applyFont="1" applyAlignment="1">
      <alignment vertical="center"/>
    </xf>
    <xf numFmtId="0" fontId="2" fillId="2" borderId="0" xfId="0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0" fontId="26" fillId="2" borderId="0" xfId="0" applyFont="1" applyFill="1" applyAlignment="1">
      <alignment vertical="center"/>
    </xf>
    <xf numFmtId="0" fontId="26" fillId="0" borderId="0" xfId="0" applyFont="1" applyAlignment="1">
      <alignment vertical="center"/>
    </xf>
    <xf numFmtId="0" fontId="0" fillId="0" borderId="24" xfId="0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9" fontId="1" fillId="0" borderId="0" xfId="0" applyNumberFormat="1" applyFont="1"/>
    <xf numFmtId="41" fontId="1" fillId="0" borderId="0" xfId="2" applyFont="1"/>
    <xf numFmtId="9" fontId="1" fillId="2" borderId="0" xfId="0" applyNumberFormat="1" applyFont="1" applyFill="1"/>
    <xf numFmtId="3" fontId="1" fillId="0" borderId="0" xfId="0" applyNumberFormat="1" applyFont="1"/>
    <xf numFmtId="1" fontId="1" fillId="0" borderId="0" xfId="0" applyNumberFormat="1" applyFont="1" applyAlignment="1">
      <alignment horizontal="right" vertical="center"/>
    </xf>
    <xf numFmtId="9" fontId="1" fillId="0" borderId="0" xfId="3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vertical="center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435C-D2C0-48E5-BE92-33449D73109B}">
  <sheetPr>
    <tabColor theme="9"/>
  </sheetPr>
  <dimension ref="A1:AJ125"/>
  <sheetViews>
    <sheetView tabSelected="1" zoomScale="73" zoomScaleNormal="73" zoomScaleSheetLayoutView="80" zoomScalePageLayoutView="25" workbookViewId="0">
      <selection activeCell="AF16" sqref="AF16"/>
    </sheetView>
  </sheetViews>
  <sheetFormatPr defaultRowHeight="15" x14ac:dyDescent="0.25"/>
  <cols>
    <col min="1" max="1" width="4.7109375" style="542" customWidth="1"/>
    <col min="2" max="2" width="12.7109375" customWidth="1"/>
    <col min="3" max="3" width="12.85546875" customWidth="1"/>
    <col min="4" max="4" width="16.28515625" customWidth="1"/>
    <col min="5" max="5" width="17.28515625" customWidth="1"/>
    <col min="6" max="6" width="21.5703125" style="2" customWidth="1"/>
    <col min="7" max="7" width="36.140625" style="543" customWidth="1"/>
    <col min="8" max="8" width="20.7109375" style="543" customWidth="1"/>
    <col min="9" max="9" width="10.5703125" style="264" customWidth="1"/>
    <col min="10" max="10" width="8.28515625" style="2" customWidth="1"/>
    <col min="11" max="11" width="20.28515625" style="2" customWidth="1"/>
    <col min="12" max="12" width="8.28515625" style="544" customWidth="1"/>
    <col min="13" max="13" width="20.28515625" style="2" customWidth="1"/>
    <col min="14" max="14" width="8.28515625" style="2" customWidth="1"/>
    <col min="15" max="15" width="22" style="2" customWidth="1"/>
    <col min="16" max="16" width="7.42578125" style="2" customWidth="1"/>
    <col min="17" max="17" width="7.140625" style="545" customWidth="1"/>
    <col min="18" max="18" width="18.7109375" style="546" customWidth="1"/>
    <col min="19" max="19" width="7.140625" style="188" customWidth="1"/>
    <col min="20" max="20" width="7.140625" style="547" customWidth="1"/>
    <col min="21" max="21" width="20.28515625" style="548" bestFit="1" customWidth="1"/>
    <col min="22" max="22" width="7.140625" style="549" customWidth="1"/>
    <col min="23" max="23" width="7.140625" style="550" customWidth="1"/>
    <col min="24" max="24" width="19.85546875" style="551" customWidth="1"/>
    <col min="25" max="25" width="13" style="264" customWidth="1"/>
    <col min="26" max="26" width="7.140625" style="550" customWidth="1"/>
    <col min="27" max="27" width="20.5703125" style="264" customWidth="1"/>
    <col min="28" max="28" width="7.85546875" style="552" customWidth="1"/>
    <col min="29" max="29" width="20.140625" style="552" bestFit="1" customWidth="1"/>
    <col min="30" max="30" width="9.85546875" style="533" customWidth="1"/>
    <col min="31" max="31" width="21.28515625" style="533" customWidth="1"/>
    <col min="32" max="32" width="10.5703125" style="533" bestFit="1" customWidth="1"/>
    <col min="33" max="33" width="15.5703125" style="533" customWidth="1"/>
    <col min="34" max="34" width="15" style="2" customWidth="1"/>
    <col min="35" max="35" width="9.140625" style="2"/>
    <col min="36" max="36" width="19.5703125" style="2" bestFit="1" customWidth="1"/>
    <col min="37" max="16384" width="9.140625" style="2"/>
  </cols>
  <sheetData>
    <row r="1" spans="1:36" ht="24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6" ht="24.7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6" ht="24.75" customHeigh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6" s="16" customFormat="1" ht="16.5" x14ac:dyDescent="0.25">
      <c r="A4" s="3"/>
      <c r="B4" s="3"/>
      <c r="C4" s="3"/>
      <c r="D4" s="3"/>
      <c r="E4" s="3"/>
      <c r="F4" s="3"/>
      <c r="G4" s="4"/>
      <c r="H4" s="4"/>
      <c r="I4" s="3"/>
      <c r="J4" s="3"/>
      <c r="K4" s="5"/>
      <c r="L4" s="6"/>
      <c r="M4" s="7"/>
      <c r="N4" s="6"/>
      <c r="O4" s="5"/>
      <c r="P4" s="3"/>
      <c r="Q4" s="8"/>
      <c r="R4" s="9"/>
      <c r="S4" s="10"/>
      <c r="T4" s="8"/>
      <c r="U4" s="5"/>
      <c r="V4" s="11"/>
      <c r="W4" s="12"/>
      <c r="X4" s="13"/>
      <c r="Y4" s="3"/>
      <c r="Z4" s="12"/>
      <c r="AA4" s="14"/>
      <c r="AB4" s="3"/>
      <c r="AC4" s="5"/>
      <c r="AD4" s="15"/>
      <c r="AE4" s="15"/>
      <c r="AF4" s="15"/>
      <c r="AG4" s="15"/>
    </row>
    <row r="5" spans="1:36" s="16" customFormat="1" ht="16.5" x14ac:dyDescent="0.25">
      <c r="A5" s="17"/>
      <c r="B5" s="17"/>
      <c r="C5" s="17"/>
      <c r="D5" s="17"/>
      <c r="E5" s="17"/>
      <c r="F5" s="18"/>
      <c r="G5" s="19"/>
      <c r="H5" s="19"/>
      <c r="I5" s="19"/>
      <c r="J5" s="19"/>
      <c r="K5" s="19"/>
      <c r="L5" s="20"/>
      <c r="M5" s="21"/>
      <c r="N5" s="20"/>
      <c r="O5" s="22"/>
      <c r="P5" s="23"/>
      <c r="Q5" s="24"/>
      <c r="R5" s="25"/>
      <c r="S5" s="26"/>
      <c r="T5" s="24"/>
      <c r="U5" s="22"/>
      <c r="V5" s="27"/>
      <c r="W5" s="28"/>
      <c r="X5" s="29"/>
      <c r="Y5" s="23"/>
      <c r="Z5" s="28"/>
      <c r="AA5" s="23"/>
      <c r="AB5" s="23"/>
      <c r="AC5" s="22"/>
      <c r="AD5" s="30"/>
      <c r="AE5" s="30"/>
      <c r="AF5" s="30"/>
      <c r="AG5" s="30"/>
    </row>
    <row r="6" spans="1:36" ht="16.5" customHeight="1" x14ac:dyDescent="0.25">
      <c r="A6" s="31" t="s">
        <v>3</v>
      </c>
      <c r="B6" s="32"/>
      <c r="C6" s="32"/>
      <c r="D6" s="32"/>
      <c r="E6" s="32"/>
      <c r="F6" s="33" t="s">
        <v>4</v>
      </c>
      <c r="G6" s="33" t="s">
        <v>5</v>
      </c>
      <c r="H6" s="33" t="s">
        <v>6</v>
      </c>
      <c r="I6" s="34" t="s">
        <v>7</v>
      </c>
      <c r="J6" s="33" t="s">
        <v>8</v>
      </c>
      <c r="K6" s="33"/>
      <c r="L6" s="33" t="s">
        <v>9</v>
      </c>
      <c r="M6" s="33"/>
      <c r="N6" s="33" t="s">
        <v>10</v>
      </c>
      <c r="O6" s="33"/>
      <c r="P6" s="33" t="s">
        <v>11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 t="s">
        <v>12</v>
      </c>
      <c r="AC6" s="33"/>
      <c r="AD6" s="33" t="s">
        <v>13</v>
      </c>
      <c r="AE6" s="33"/>
      <c r="AF6" s="33" t="s">
        <v>14</v>
      </c>
      <c r="AG6" s="33"/>
      <c r="AH6" s="16"/>
    </row>
    <row r="7" spans="1:36" ht="70.5" customHeight="1" x14ac:dyDescent="0.25">
      <c r="A7" s="35"/>
      <c r="B7" s="36" t="s">
        <v>15</v>
      </c>
      <c r="C7" s="36" t="s">
        <v>16</v>
      </c>
      <c r="D7" s="36" t="s">
        <v>17</v>
      </c>
      <c r="E7" s="36" t="s">
        <v>18</v>
      </c>
      <c r="F7" s="37"/>
      <c r="G7" s="37"/>
      <c r="H7" s="37"/>
      <c r="I7" s="38"/>
      <c r="J7" s="37"/>
      <c r="K7" s="37"/>
      <c r="L7" s="37"/>
      <c r="M7" s="37"/>
      <c r="N7" s="37"/>
      <c r="O7" s="37"/>
      <c r="P7" s="39" t="s">
        <v>19</v>
      </c>
      <c r="Q7" s="39"/>
      <c r="R7" s="39"/>
      <c r="S7" s="39" t="s">
        <v>20</v>
      </c>
      <c r="T7" s="39"/>
      <c r="U7" s="39"/>
      <c r="V7" s="39" t="s">
        <v>21</v>
      </c>
      <c r="W7" s="39"/>
      <c r="X7" s="39"/>
      <c r="Y7" s="39" t="s">
        <v>22</v>
      </c>
      <c r="Z7" s="39"/>
      <c r="AA7" s="39"/>
      <c r="AB7" s="37"/>
      <c r="AC7" s="37"/>
      <c r="AD7" s="37"/>
      <c r="AE7" s="37"/>
      <c r="AF7" s="37"/>
      <c r="AG7" s="37"/>
      <c r="AH7" s="16"/>
    </row>
    <row r="8" spans="1:36" ht="15.75" customHeight="1" x14ac:dyDescent="0.25">
      <c r="A8" s="40">
        <v>1</v>
      </c>
      <c r="B8" s="41"/>
      <c r="C8" s="41"/>
      <c r="D8" s="41"/>
      <c r="E8" s="41"/>
      <c r="F8" s="42">
        <v>2</v>
      </c>
      <c r="G8" s="42">
        <v>3</v>
      </c>
      <c r="H8" s="42">
        <v>4</v>
      </c>
      <c r="I8" s="34">
        <v>5</v>
      </c>
      <c r="J8" s="42">
        <v>6</v>
      </c>
      <c r="K8" s="42"/>
      <c r="L8" s="42">
        <v>7</v>
      </c>
      <c r="M8" s="42"/>
      <c r="N8" s="42">
        <v>8</v>
      </c>
      <c r="O8" s="42"/>
      <c r="P8" s="42">
        <v>9</v>
      </c>
      <c r="Q8" s="42"/>
      <c r="R8" s="42"/>
      <c r="S8" s="42">
        <v>10</v>
      </c>
      <c r="T8" s="42"/>
      <c r="U8" s="42"/>
      <c r="V8" s="42">
        <v>11</v>
      </c>
      <c r="W8" s="42"/>
      <c r="X8" s="42"/>
      <c r="Y8" s="42">
        <v>12</v>
      </c>
      <c r="Z8" s="42"/>
      <c r="AA8" s="42"/>
      <c r="AB8" s="42" t="s">
        <v>23</v>
      </c>
      <c r="AC8" s="42"/>
      <c r="AD8" s="42" t="s">
        <v>24</v>
      </c>
      <c r="AE8" s="42"/>
      <c r="AF8" s="42" t="s">
        <v>25</v>
      </c>
      <c r="AG8" s="42"/>
      <c r="AH8" s="16"/>
    </row>
    <row r="9" spans="1:36" ht="16.5" x14ac:dyDescent="0.25">
      <c r="A9" s="43"/>
      <c r="B9" s="44"/>
      <c r="C9" s="44"/>
      <c r="D9" s="44"/>
      <c r="E9" s="44"/>
      <c r="F9" s="39"/>
      <c r="G9" s="39"/>
      <c r="H9" s="39"/>
      <c r="I9" s="38"/>
      <c r="J9" s="45" t="s">
        <v>26</v>
      </c>
      <c r="K9" s="46" t="s">
        <v>27</v>
      </c>
      <c r="L9" s="45" t="s">
        <v>26</v>
      </c>
      <c r="M9" s="46" t="s">
        <v>27</v>
      </c>
      <c r="N9" s="45" t="s">
        <v>26</v>
      </c>
      <c r="O9" s="46" t="s">
        <v>27</v>
      </c>
      <c r="P9" s="45" t="s">
        <v>26</v>
      </c>
      <c r="Q9" s="47" t="s">
        <v>28</v>
      </c>
      <c r="R9" s="48" t="s">
        <v>27</v>
      </c>
      <c r="S9" s="49" t="s">
        <v>26</v>
      </c>
      <c r="T9" s="47" t="s">
        <v>28</v>
      </c>
      <c r="U9" s="46" t="s">
        <v>27</v>
      </c>
      <c r="V9" s="49" t="s">
        <v>26</v>
      </c>
      <c r="W9" s="50" t="s">
        <v>28</v>
      </c>
      <c r="X9" s="51" t="s">
        <v>27</v>
      </c>
      <c r="Y9" s="45" t="s">
        <v>26</v>
      </c>
      <c r="Z9" s="50" t="s">
        <v>28</v>
      </c>
      <c r="AA9" s="45" t="s">
        <v>27</v>
      </c>
      <c r="AB9" s="45" t="s">
        <v>26</v>
      </c>
      <c r="AC9" s="46" t="s">
        <v>27</v>
      </c>
      <c r="AD9" s="45" t="s">
        <v>26</v>
      </c>
      <c r="AE9" s="45" t="s">
        <v>27</v>
      </c>
      <c r="AF9" s="45" t="s">
        <v>26</v>
      </c>
      <c r="AG9" s="45" t="s">
        <v>27</v>
      </c>
      <c r="AH9" s="16"/>
    </row>
    <row r="10" spans="1:36" s="75" customFormat="1" ht="20.25" customHeight="1" x14ac:dyDescent="0.25">
      <c r="A10" s="52" t="s">
        <v>29</v>
      </c>
      <c r="B10" s="52"/>
      <c r="C10" s="52"/>
      <c r="D10" s="52"/>
      <c r="E10" s="52"/>
      <c r="F10" s="53" t="s">
        <v>30</v>
      </c>
      <c r="G10" s="54"/>
      <c r="H10" s="54"/>
      <c r="I10" s="55"/>
      <c r="J10" s="56"/>
      <c r="K10" s="57"/>
      <c r="L10" s="58"/>
      <c r="M10" s="59"/>
      <c r="N10" s="60"/>
      <c r="O10" s="61"/>
      <c r="P10" s="60"/>
      <c r="Q10" s="62"/>
      <c r="R10" s="63"/>
      <c r="S10" s="64"/>
      <c r="T10" s="62"/>
      <c r="U10" s="61"/>
      <c r="V10" s="65"/>
      <c r="W10" s="66"/>
      <c r="X10" s="67"/>
      <c r="Y10" s="68"/>
      <c r="Z10" s="69"/>
      <c r="AA10" s="68"/>
      <c r="AB10" s="70"/>
      <c r="AC10" s="67"/>
      <c r="AD10" s="71"/>
      <c r="AE10" s="72"/>
      <c r="AF10" s="73"/>
      <c r="AG10" s="74"/>
    </row>
    <row r="11" spans="1:36" s="100" customFormat="1" ht="25.5" customHeight="1" x14ac:dyDescent="0.25">
      <c r="A11" s="76">
        <v>1</v>
      </c>
      <c r="B11" s="77" t="s">
        <v>31</v>
      </c>
      <c r="C11" s="77" t="s">
        <v>32</v>
      </c>
      <c r="D11" s="78"/>
      <c r="E11" s="78"/>
      <c r="F11" s="79"/>
      <c r="G11" s="80" t="s">
        <v>33</v>
      </c>
      <c r="H11" s="81"/>
      <c r="I11" s="82"/>
      <c r="J11" s="83">
        <v>100</v>
      </c>
      <c r="K11" s="84">
        <f>SUM(K12+K91+K96)</f>
        <v>19869930990</v>
      </c>
      <c r="L11" s="85">
        <v>100</v>
      </c>
      <c r="M11" s="84">
        <f>SUM(M12+M91+M96)</f>
        <v>11959663305</v>
      </c>
      <c r="N11" s="84">
        <v>100</v>
      </c>
      <c r="O11" s="84">
        <f>SUM(O12+O91+O96)</f>
        <v>14723660349</v>
      </c>
      <c r="P11" s="86"/>
      <c r="Q11" s="87"/>
      <c r="R11" s="88">
        <f>SUM(R12+R91+R96)</f>
        <v>2004106779</v>
      </c>
      <c r="S11" s="84"/>
      <c r="T11" s="89"/>
      <c r="U11" s="90">
        <f>SUM(U12+U91+U96)</f>
        <v>2286043325</v>
      </c>
      <c r="V11" s="91"/>
      <c r="W11" s="92"/>
      <c r="X11" s="93">
        <f>SUM(X12+X91+X96)</f>
        <v>2759455579</v>
      </c>
      <c r="Y11" s="86"/>
      <c r="Z11" s="94"/>
      <c r="AA11" s="95">
        <f>SUM(AA12+AA91+AA96)</f>
        <v>5079357490</v>
      </c>
      <c r="AB11" s="96"/>
      <c r="AC11" s="84">
        <f>SUM(AC12+AC91+AC96)</f>
        <v>12023973159</v>
      </c>
      <c r="AD11" s="97">
        <f t="shared" ref="AD11:AE45" si="0">L11+AB11</f>
        <v>100</v>
      </c>
      <c r="AE11" s="98">
        <f t="shared" si="0"/>
        <v>23983636464</v>
      </c>
      <c r="AF11" s="98">
        <f t="shared" ref="AF11:AF77" si="1">(AD11/J11)*100</f>
        <v>100</v>
      </c>
      <c r="AG11" s="99">
        <f t="shared" ref="AG11:AG46" si="2">AE11/K11*100</f>
        <v>120.70316940743437</v>
      </c>
    </row>
    <row r="12" spans="1:36" s="122" customFormat="1" ht="20.100000000000001" customHeight="1" x14ac:dyDescent="0.25">
      <c r="A12" s="101">
        <v>2</v>
      </c>
      <c r="B12" s="102"/>
      <c r="C12" s="102"/>
      <c r="D12" s="103"/>
      <c r="E12" s="103"/>
      <c r="F12" s="104"/>
      <c r="G12" s="105" t="s">
        <v>34</v>
      </c>
      <c r="H12" s="105"/>
      <c r="I12" s="106"/>
      <c r="J12" s="107">
        <v>100</v>
      </c>
      <c r="K12" s="108">
        <f>SUM(K13+K55+K70)</f>
        <v>18574569285</v>
      </c>
      <c r="L12" s="109">
        <v>100</v>
      </c>
      <c r="M12" s="108">
        <f>SUM(M13+M55+M70)</f>
        <v>10969192860</v>
      </c>
      <c r="N12" s="108">
        <v>100</v>
      </c>
      <c r="O12" s="108">
        <f>SUM(O13+O55+O70)</f>
        <v>13397440110</v>
      </c>
      <c r="P12" s="110"/>
      <c r="Q12" s="111"/>
      <c r="R12" s="112">
        <f>SUM(R13+R55+R70+R91+R96)</f>
        <v>1971343265</v>
      </c>
      <c r="S12" s="108"/>
      <c r="T12" s="113"/>
      <c r="U12" s="112">
        <f>SUM(U13+U55+U70+U91+U96)</f>
        <v>2279258325</v>
      </c>
      <c r="V12" s="114"/>
      <c r="W12" s="115"/>
      <c r="X12" s="112">
        <f>SUM(X13+X55+X70+X91+X96)</f>
        <v>2733183079</v>
      </c>
      <c r="Y12" s="110"/>
      <c r="Z12" s="116"/>
      <c r="AA12" s="112">
        <f>SUM(AA13+AA55+AA70+AA91)</f>
        <v>4121616561</v>
      </c>
      <c r="AB12" s="117"/>
      <c r="AC12" s="118">
        <f>SUM(AC13+AC55+AC70)</f>
        <v>11000411216</v>
      </c>
      <c r="AD12" s="119">
        <f t="shared" si="0"/>
        <v>100</v>
      </c>
      <c r="AE12" s="120">
        <f t="shared" si="0"/>
        <v>21969604076</v>
      </c>
      <c r="AF12" s="120">
        <f t="shared" si="1"/>
        <v>100</v>
      </c>
      <c r="AG12" s="121">
        <f t="shared" si="2"/>
        <v>118.2778654993722</v>
      </c>
    </row>
    <row r="13" spans="1:36" s="136" customFormat="1" ht="82.5" customHeight="1" x14ac:dyDescent="0.25">
      <c r="A13" s="76">
        <v>3</v>
      </c>
      <c r="B13" s="102"/>
      <c r="C13" s="102"/>
      <c r="D13" s="123" t="s">
        <v>35</v>
      </c>
      <c r="E13" s="124" t="s">
        <v>36</v>
      </c>
      <c r="F13" s="125" t="s">
        <v>37</v>
      </c>
      <c r="G13" s="126" t="s">
        <v>38</v>
      </c>
      <c r="H13" s="126" t="s">
        <v>39</v>
      </c>
      <c r="I13" s="127" t="s">
        <v>40</v>
      </c>
      <c r="J13" s="128">
        <v>100</v>
      </c>
      <c r="K13" s="129">
        <f>SUM(K14+K22+K27+K30+K39+K45+K49)</f>
        <v>12277627611</v>
      </c>
      <c r="L13" s="130">
        <v>100</v>
      </c>
      <c r="M13" s="129">
        <f>SUM(M14+M22+M27+M30+M39+M45+M49)</f>
        <v>7762491245</v>
      </c>
      <c r="N13" s="129">
        <v>100</v>
      </c>
      <c r="O13" s="129">
        <f>SUM(O14+O22+O27+O30+O39+O45+O49)</f>
        <v>9972206125</v>
      </c>
      <c r="P13" s="131">
        <f t="shared" ref="P13:P39" si="3">Q13*N13</f>
        <v>14.987244897959181</v>
      </c>
      <c r="Q13" s="132">
        <f>AVERAGE(Q14,Q22,Q27,Q30,Q39,Q45,Q49)</f>
        <v>0.14987244897959182</v>
      </c>
      <c r="R13" s="129">
        <f>SUM(R14+R22+R27+R30+R39+R45+R49)</f>
        <v>1854185339</v>
      </c>
      <c r="S13" s="131">
        <f t="shared" ref="S13:S23" si="4">T13*N13-P13</f>
        <v>13.507653061224497</v>
      </c>
      <c r="T13" s="132">
        <f>AVERAGE(T14,T22,T27,T30,T39,T45,T49)</f>
        <v>0.28494897959183679</v>
      </c>
      <c r="U13" s="129">
        <f>SUM(U14+U22+U27+U30+U39+U45+U49)</f>
        <v>1997093079</v>
      </c>
      <c r="V13" s="131">
        <f t="shared" ref="V13:V32" si="5">W13*N13-P13-S13</f>
        <v>21.033163265306122</v>
      </c>
      <c r="W13" s="132">
        <f>AVERAGE(W14,W22,W27,W30,W39,W45,W49)</f>
        <v>0.49528061224489794</v>
      </c>
      <c r="X13" s="129">
        <f>SUM(X14+X22+X27+X30+X39+X45+X49)</f>
        <v>2107919683</v>
      </c>
      <c r="Y13" s="131">
        <f>Z13*N13-P13-S13-V13</f>
        <v>50.471938775510189</v>
      </c>
      <c r="Z13" s="132">
        <f>AVERAGE(Z14,Z22,Z27,Z30,Z39,Z45,Z49)</f>
        <v>1</v>
      </c>
      <c r="AA13" s="129">
        <f>SUM(AA14+AA22+AA27+AA30+AA39+AA45+AA49)</f>
        <v>2418900034</v>
      </c>
      <c r="AB13" s="133">
        <f t="shared" ref="AB13:AB79" si="6">P13+S13+V13+Y13</f>
        <v>100</v>
      </c>
      <c r="AC13" s="129">
        <f>SUM(AC14+AC22+AC27+AC30+AC39+AC45+AC49)</f>
        <v>8378098135</v>
      </c>
      <c r="AD13" s="134">
        <f t="shared" si="0"/>
        <v>200</v>
      </c>
      <c r="AE13" s="134">
        <f t="shared" si="0"/>
        <v>16140589380</v>
      </c>
      <c r="AF13" s="130">
        <f t="shared" si="1"/>
        <v>200</v>
      </c>
      <c r="AG13" s="135">
        <f t="shared" si="2"/>
        <v>131.46342185471585</v>
      </c>
      <c r="AI13" s="137"/>
    </row>
    <row r="14" spans="1:36" s="154" customFormat="1" ht="70.5" customHeight="1" x14ac:dyDescent="0.25">
      <c r="A14" s="101">
        <v>4</v>
      </c>
      <c r="B14" s="102"/>
      <c r="C14" s="102"/>
      <c r="D14" s="103"/>
      <c r="E14" s="103"/>
      <c r="F14" s="138"/>
      <c r="G14" s="139" t="s">
        <v>41</v>
      </c>
      <c r="H14" s="139" t="s">
        <v>42</v>
      </c>
      <c r="I14" s="140" t="s">
        <v>28</v>
      </c>
      <c r="J14" s="141">
        <v>100</v>
      </c>
      <c r="K14" s="142">
        <f>SUM(K15:K21)</f>
        <v>338151881</v>
      </c>
      <c r="L14" s="143">
        <v>100</v>
      </c>
      <c r="M14" s="142">
        <f>SUM(M15:M21)</f>
        <v>261536100</v>
      </c>
      <c r="N14" s="144">
        <v>100</v>
      </c>
      <c r="O14" s="144">
        <f>SUM(O15:O21)</f>
        <v>302061220</v>
      </c>
      <c r="P14" s="145">
        <f t="shared" si="3"/>
        <v>29.285714285714281</v>
      </c>
      <c r="Q14" s="146">
        <f>AVERAGE(Q15:Q21)</f>
        <v>0.29285714285714282</v>
      </c>
      <c r="R14" s="147">
        <f>SUM(R15:R21)</f>
        <v>21281000</v>
      </c>
      <c r="S14" s="145">
        <f t="shared" si="4"/>
        <v>16.428571428571434</v>
      </c>
      <c r="T14" s="146">
        <f>AVERAGE(T15:T21)</f>
        <v>0.45714285714285718</v>
      </c>
      <c r="U14" s="148">
        <f>SUM(U15:U21)</f>
        <v>21907000</v>
      </c>
      <c r="V14" s="145">
        <f t="shared" si="5"/>
        <v>32.857142857142861</v>
      </c>
      <c r="W14" s="149">
        <f>AVERAGE(W15:W21)</f>
        <v>0.7857142857142857</v>
      </c>
      <c r="X14" s="148">
        <f>SUM(X15:X21)</f>
        <v>32474000</v>
      </c>
      <c r="Y14" s="145">
        <f>Z14*N14-P14-S14-V14</f>
        <v>21.428571428571431</v>
      </c>
      <c r="Z14" s="149">
        <f>AVERAGE(Z15:Z21)</f>
        <v>1</v>
      </c>
      <c r="AA14" s="148">
        <f>SUM(AA15:AA21)</f>
        <v>96940000</v>
      </c>
      <c r="AB14" s="150">
        <f>P14+S14+V14+Y14</f>
        <v>100.00000000000001</v>
      </c>
      <c r="AC14" s="151">
        <f>SUM(AC15:AC21)</f>
        <v>172602000</v>
      </c>
      <c r="AD14" s="152">
        <f t="shared" si="0"/>
        <v>200</v>
      </c>
      <c r="AE14" s="152">
        <f t="shared" si="0"/>
        <v>434138100</v>
      </c>
      <c r="AF14" s="143">
        <f t="shared" si="1"/>
        <v>200</v>
      </c>
      <c r="AG14" s="153">
        <f t="shared" si="2"/>
        <v>128.38553454623545</v>
      </c>
      <c r="AI14" s="155">
        <f>SUM(AB14+AB22+AB27+AB30+AB39+AB45+AB49+AB56+AB64+AB67+AB71+AB77+AB84+AB93+AB98+AB101+AB103)/17</f>
        <v>96.764705882352942</v>
      </c>
      <c r="AJ14" s="155">
        <f>AC11/O11*100</f>
        <v>81.664293212364427</v>
      </c>
    </row>
    <row r="15" spans="1:36" ht="55.5" customHeight="1" x14ac:dyDescent="0.25">
      <c r="A15" s="76">
        <v>5</v>
      </c>
      <c r="B15" s="102"/>
      <c r="C15" s="102"/>
      <c r="D15" s="156"/>
      <c r="E15" s="156"/>
      <c r="F15" s="157"/>
      <c r="G15" s="158" t="s">
        <v>43</v>
      </c>
      <c r="H15" s="158" t="s">
        <v>44</v>
      </c>
      <c r="I15" s="159" t="s">
        <v>45</v>
      </c>
      <c r="J15" s="160">
        <v>3</v>
      </c>
      <c r="K15" s="161">
        <v>85102670</v>
      </c>
      <c r="L15" s="162">
        <v>3</v>
      </c>
      <c r="M15" s="163">
        <v>73848000</v>
      </c>
      <c r="N15" s="164">
        <v>4</v>
      </c>
      <c r="O15" s="164">
        <v>73945400</v>
      </c>
      <c r="P15" s="165">
        <f t="shared" si="3"/>
        <v>2</v>
      </c>
      <c r="Q15" s="166">
        <v>0.5</v>
      </c>
      <c r="R15" s="167">
        <v>8416000</v>
      </c>
      <c r="S15" s="165">
        <f t="shared" si="4"/>
        <v>0.79999999999999982</v>
      </c>
      <c r="T15" s="168">
        <v>0.7</v>
      </c>
      <c r="U15" s="169">
        <f>20906000-R15</f>
        <v>12490000</v>
      </c>
      <c r="V15" s="165">
        <f t="shared" si="5"/>
        <v>1.2000000000000002</v>
      </c>
      <c r="W15" s="170">
        <v>1</v>
      </c>
      <c r="X15" s="169">
        <v>2688000</v>
      </c>
      <c r="Y15" s="165">
        <f>Z15*N15-P15-S15-V15</f>
        <v>0</v>
      </c>
      <c r="Z15" s="166">
        <v>1</v>
      </c>
      <c r="AA15" s="163">
        <v>25427000</v>
      </c>
      <c r="AB15" s="171">
        <f t="shared" si="6"/>
        <v>4</v>
      </c>
      <c r="AC15" s="172">
        <f t="shared" ref="AC15:AC21" si="7">R15+U15+X15+AA15</f>
        <v>49021000</v>
      </c>
      <c r="AD15" s="173">
        <f t="shared" si="0"/>
        <v>7</v>
      </c>
      <c r="AE15" s="173">
        <f t="shared" si="0"/>
        <v>122869000</v>
      </c>
      <c r="AF15" s="174">
        <f t="shared" si="1"/>
        <v>233.33333333333334</v>
      </c>
      <c r="AG15" s="175">
        <f t="shared" si="2"/>
        <v>144.3773738238765</v>
      </c>
      <c r="AH15" s="176">
        <f t="shared" ref="AH15:AH21" si="8">AA15-R15-U15-X15</f>
        <v>1833000</v>
      </c>
      <c r="AI15" s="137"/>
    </row>
    <row r="16" spans="1:36" ht="82.5" customHeight="1" x14ac:dyDescent="0.25">
      <c r="A16" s="101">
        <v>6</v>
      </c>
      <c r="B16" s="102"/>
      <c r="C16" s="102"/>
      <c r="D16" s="177"/>
      <c r="E16" s="177"/>
      <c r="F16" s="157"/>
      <c r="G16" s="158" t="s">
        <v>46</v>
      </c>
      <c r="H16" s="158" t="s">
        <v>47</v>
      </c>
      <c r="I16" s="159" t="s">
        <v>45</v>
      </c>
      <c r="J16" s="178">
        <v>1</v>
      </c>
      <c r="K16" s="161">
        <v>46480452</v>
      </c>
      <c r="L16" s="162">
        <v>0.75</v>
      </c>
      <c r="M16" s="163">
        <v>32835500</v>
      </c>
      <c r="N16" s="164">
        <v>1</v>
      </c>
      <c r="O16" s="164">
        <v>33606137</v>
      </c>
      <c r="P16" s="165">
        <v>0</v>
      </c>
      <c r="Q16" s="179">
        <v>0.25</v>
      </c>
      <c r="R16" s="180">
        <v>0</v>
      </c>
      <c r="S16" s="165">
        <v>0</v>
      </c>
      <c r="T16" s="179">
        <v>0.5</v>
      </c>
      <c r="U16" s="169">
        <v>0</v>
      </c>
      <c r="V16" s="165">
        <v>0</v>
      </c>
      <c r="W16" s="170">
        <v>0.75</v>
      </c>
      <c r="X16" s="169">
        <v>9028000</v>
      </c>
      <c r="Y16" s="181">
        <f>Z16*N16-P16-S16</f>
        <v>1</v>
      </c>
      <c r="Z16" s="166">
        <v>1</v>
      </c>
      <c r="AA16" s="182">
        <v>12357000</v>
      </c>
      <c r="AB16" s="183">
        <f t="shared" si="6"/>
        <v>1</v>
      </c>
      <c r="AC16" s="184">
        <f t="shared" si="7"/>
        <v>21385000</v>
      </c>
      <c r="AD16" s="173">
        <f t="shared" si="0"/>
        <v>1.75</v>
      </c>
      <c r="AE16" s="173">
        <f t="shared" si="0"/>
        <v>54220500</v>
      </c>
      <c r="AF16" s="174">
        <f t="shared" si="1"/>
        <v>175</v>
      </c>
      <c r="AG16" s="175">
        <f t="shared" si="2"/>
        <v>116.6522649134307</v>
      </c>
      <c r="AH16" s="185">
        <f t="shared" si="8"/>
        <v>3329000</v>
      </c>
    </row>
    <row r="17" spans="1:34" ht="90" customHeight="1" x14ac:dyDescent="0.25">
      <c r="A17" s="76">
        <v>7</v>
      </c>
      <c r="B17" s="102"/>
      <c r="C17" s="102"/>
      <c r="D17" s="156"/>
      <c r="E17" s="156"/>
      <c r="F17" s="157"/>
      <c r="G17" s="158" t="s">
        <v>48</v>
      </c>
      <c r="H17" s="158" t="s">
        <v>49</v>
      </c>
      <c r="I17" s="159" t="s">
        <v>45</v>
      </c>
      <c r="J17" s="160">
        <v>1</v>
      </c>
      <c r="K17" s="186">
        <v>46492909</v>
      </c>
      <c r="L17" s="162">
        <v>0.75</v>
      </c>
      <c r="M17" s="163">
        <v>35471500</v>
      </c>
      <c r="N17" s="164">
        <v>1</v>
      </c>
      <c r="O17" s="164">
        <v>41092957</v>
      </c>
      <c r="P17" s="165">
        <f t="shared" si="3"/>
        <v>0</v>
      </c>
      <c r="Q17" s="179">
        <v>0</v>
      </c>
      <c r="R17" s="180">
        <v>0</v>
      </c>
      <c r="S17" s="165">
        <v>0</v>
      </c>
      <c r="T17" s="179">
        <v>0.5</v>
      </c>
      <c r="U17" s="169">
        <v>6312000</v>
      </c>
      <c r="V17" s="165">
        <f t="shared" si="5"/>
        <v>1</v>
      </c>
      <c r="W17" s="170">
        <v>1</v>
      </c>
      <c r="X17" s="169">
        <v>8838000</v>
      </c>
      <c r="Y17" s="181">
        <f>Z17*N17-P17-S17-V17</f>
        <v>0</v>
      </c>
      <c r="Z17" s="166">
        <v>1</v>
      </c>
      <c r="AA17" s="163">
        <v>15013000</v>
      </c>
      <c r="AB17" s="171">
        <f t="shared" si="6"/>
        <v>1</v>
      </c>
      <c r="AC17" s="172">
        <f t="shared" si="7"/>
        <v>30163000</v>
      </c>
      <c r="AD17" s="173">
        <f t="shared" si="0"/>
        <v>1.75</v>
      </c>
      <c r="AE17" s="173">
        <f t="shared" si="0"/>
        <v>65634500</v>
      </c>
      <c r="AF17" s="174">
        <f t="shared" si="1"/>
        <v>175</v>
      </c>
      <c r="AG17" s="175">
        <f t="shared" si="2"/>
        <v>141.17099018261044</v>
      </c>
      <c r="AH17" s="187">
        <f t="shared" si="8"/>
        <v>-137000</v>
      </c>
    </row>
    <row r="18" spans="1:34" ht="82.5" customHeight="1" x14ac:dyDescent="0.25">
      <c r="A18" s="101">
        <v>8</v>
      </c>
      <c r="B18" s="102"/>
      <c r="C18" s="102"/>
      <c r="D18" s="177"/>
      <c r="E18" s="177"/>
      <c r="F18" s="157"/>
      <c r="G18" s="158" t="s">
        <v>50</v>
      </c>
      <c r="H18" s="158" t="s">
        <v>51</v>
      </c>
      <c r="I18" s="159" t="s">
        <v>45</v>
      </c>
      <c r="J18" s="160">
        <v>1</v>
      </c>
      <c r="K18" s="186">
        <v>28922113</v>
      </c>
      <c r="L18" s="162">
        <v>0.83</v>
      </c>
      <c r="M18" s="167">
        <v>21946900</v>
      </c>
      <c r="N18" s="164">
        <v>1</v>
      </c>
      <c r="O18" s="164">
        <v>23526882</v>
      </c>
      <c r="P18" s="165">
        <f t="shared" si="3"/>
        <v>0</v>
      </c>
      <c r="Q18" s="179">
        <v>0</v>
      </c>
      <c r="R18" s="180">
        <v>0</v>
      </c>
      <c r="S18" s="165">
        <f t="shared" si="4"/>
        <v>0</v>
      </c>
      <c r="T18" s="179">
        <v>0</v>
      </c>
      <c r="U18" s="169">
        <v>0</v>
      </c>
      <c r="V18" s="165">
        <f t="shared" si="5"/>
        <v>0</v>
      </c>
      <c r="W18" s="170">
        <v>0</v>
      </c>
      <c r="X18" s="169">
        <v>0</v>
      </c>
      <c r="Y18" s="181">
        <f t="shared" ref="Y18:Y21" si="9">Z18*N18-P18-S18-V18</f>
        <v>1</v>
      </c>
      <c r="Z18" s="166">
        <v>1</v>
      </c>
      <c r="AA18" s="163">
        <v>9040000</v>
      </c>
      <c r="AB18" s="171">
        <f t="shared" si="6"/>
        <v>1</v>
      </c>
      <c r="AC18" s="184">
        <f t="shared" si="7"/>
        <v>9040000</v>
      </c>
      <c r="AD18" s="173">
        <f t="shared" si="0"/>
        <v>1.83</v>
      </c>
      <c r="AE18" s="173">
        <f t="shared" si="0"/>
        <v>30986900</v>
      </c>
      <c r="AF18" s="175">
        <f t="shared" si="1"/>
        <v>183</v>
      </c>
      <c r="AG18" s="175">
        <f t="shared" si="2"/>
        <v>107.13912915007282</v>
      </c>
      <c r="AH18" s="188">
        <f t="shared" si="8"/>
        <v>9040000</v>
      </c>
    </row>
    <row r="19" spans="1:34" ht="88.5" customHeight="1" x14ac:dyDescent="0.25">
      <c r="A19" s="76">
        <v>9</v>
      </c>
      <c r="B19" s="102"/>
      <c r="C19" s="102"/>
      <c r="D19" s="156"/>
      <c r="E19" s="156"/>
      <c r="F19" s="157"/>
      <c r="G19" s="158" t="s">
        <v>52</v>
      </c>
      <c r="H19" s="158" t="s">
        <v>53</v>
      </c>
      <c r="I19" s="159" t="s">
        <v>45</v>
      </c>
      <c r="J19" s="160">
        <v>1</v>
      </c>
      <c r="K19" s="186">
        <v>31173613</v>
      </c>
      <c r="L19" s="162">
        <v>0.83</v>
      </c>
      <c r="M19" s="167">
        <v>16037500</v>
      </c>
      <c r="N19" s="164">
        <v>1</v>
      </c>
      <c r="O19" s="164">
        <v>23294382</v>
      </c>
      <c r="P19" s="165">
        <f t="shared" si="3"/>
        <v>0</v>
      </c>
      <c r="Q19" s="179">
        <v>0</v>
      </c>
      <c r="R19" s="180">
        <v>0</v>
      </c>
      <c r="S19" s="165">
        <f t="shared" si="4"/>
        <v>0</v>
      </c>
      <c r="T19" s="179">
        <v>0</v>
      </c>
      <c r="U19" s="169">
        <v>0</v>
      </c>
      <c r="V19" s="165">
        <f t="shared" si="5"/>
        <v>1</v>
      </c>
      <c r="W19" s="170">
        <v>1</v>
      </c>
      <c r="X19" s="169">
        <v>0</v>
      </c>
      <c r="Y19" s="181">
        <f>Z19*N19-P19-S19-V19</f>
        <v>0</v>
      </c>
      <c r="Z19" s="166">
        <v>1</v>
      </c>
      <c r="AA19" s="163">
        <v>11804500</v>
      </c>
      <c r="AB19" s="171">
        <f t="shared" si="6"/>
        <v>1</v>
      </c>
      <c r="AC19" s="184">
        <f t="shared" si="7"/>
        <v>11804500</v>
      </c>
      <c r="AD19" s="189">
        <f t="shared" si="0"/>
        <v>1.83</v>
      </c>
      <c r="AE19" s="173">
        <f t="shared" si="0"/>
        <v>27842000</v>
      </c>
      <c r="AF19" s="190">
        <f t="shared" si="1"/>
        <v>183</v>
      </c>
      <c r="AG19" s="175">
        <f t="shared" si="2"/>
        <v>89.312714570492673</v>
      </c>
      <c r="AH19" s="188">
        <f t="shared" si="8"/>
        <v>11804500</v>
      </c>
    </row>
    <row r="20" spans="1:34" ht="131.25" customHeight="1" x14ac:dyDescent="0.25">
      <c r="A20" s="101">
        <v>10</v>
      </c>
      <c r="B20" s="102"/>
      <c r="C20" s="102"/>
      <c r="D20" s="177"/>
      <c r="E20" s="177"/>
      <c r="F20" s="157"/>
      <c r="G20" s="158" t="s">
        <v>54</v>
      </c>
      <c r="H20" s="158" t="s">
        <v>55</v>
      </c>
      <c r="I20" s="159" t="s">
        <v>56</v>
      </c>
      <c r="J20" s="160">
        <v>1</v>
      </c>
      <c r="K20" s="161">
        <v>60032406</v>
      </c>
      <c r="L20" s="162">
        <v>1.8</v>
      </c>
      <c r="M20" s="163">
        <v>50638700</v>
      </c>
      <c r="N20" s="164">
        <v>1</v>
      </c>
      <c r="O20" s="164">
        <v>77529900</v>
      </c>
      <c r="P20" s="165">
        <f t="shared" si="3"/>
        <v>1</v>
      </c>
      <c r="Q20" s="179">
        <v>1</v>
      </c>
      <c r="R20" s="167">
        <v>12865000</v>
      </c>
      <c r="S20" s="165">
        <f t="shared" si="4"/>
        <v>0</v>
      </c>
      <c r="T20" s="179">
        <v>1</v>
      </c>
      <c r="U20" s="169">
        <f>15970000-R20</f>
        <v>3105000</v>
      </c>
      <c r="V20" s="165">
        <f t="shared" si="5"/>
        <v>0</v>
      </c>
      <c r="W20" s="170">
        <v>1</v>
      </c>
      <c r="X20" s="169">
        <v>6150000</v>
      </c>
      <c r="Y20" s="181">
        <f>Z20*N20-P20-S20-V20</f>
        <v>0</v>
      </c>
      <c r="Z20" s="166">
        <v>1</v>
      </c>
      <c r="AA20" s="163">
        <v>17457500</v>
      </c>
      <c r="AB20" s="171">
        <f t="shared" si="6"/>
        <v>1</v>
      </c>
      <c r="AC20" s="172">
        <f t="shared" si="7"/>
        <v>39577500</v>
      </c>
      <c r="AD20" s="173">
        <f t="shared" si="0"/>
        <v>2.8</v>
      </c>
      <c r="AE20" s="173">
        <f t="shared" si="0"/>
        <v>90216200</v>
      </c>
      <c r="AF20" s="174">
        <f t="shared" si="1"/>
        <v>280</v>
      </c>
      <c r="AG20" s="175">
        <f t="shared" si="2"/>
        <v>150.27916755493692</v>
      </c>
      <c r="AH20" s="176">
        <f t="shared" si="8"/>
        <v>-4662500</v>
      </c>
    </row>
    <row r="21" spans="1:34" ht="45" customHeight="1" x14ac:dyDescent="0.25">
      <c r="A21" s="76">
        <v>11</v>
      </c>
      <c r="B21" s="102"/>
      <c r="C21" s="102"/>
      <c r="D21" s="156"/>
      <c r="E21" s="156"/>
      <c r="F21" s="157"/>
      <c r="G21" s="158" t="s">
        <v>57</v>
      </c>
      <c r="H21" s="158" t="s">
        <v>58</v>
      </c>
      <c r="I21" s="159" t="s">
        <v>56</v>
      </c>
      <c r="J21" s="160">
        <v>1</v>
      </c>
      <c r="K21" s="161">
        <v>39947718</v>
      </c>
      <c r="L21" s="162">
        <v>0.8</v>
      </c>
      <c r="M21" s="167">
        <v>30758000</v>
      </c>
      <c r="N21" s="164">
        <v>8</v>
      </c>
      <c r="O21" s="164">
        <v>29065562</v>
      </c>
      <c r="P21" s="165">
        <f t="shared" si="3"/>
        <v>2.4</v>
      </c>
      <c r="Q21" s="179">
        <v>0.3</v>
      </c>
      <c r="R21" s="180">
        <v>0</v>
      </c>
      <c r="S21" s="165">
        <f t="shared" si="4"/>
        <v>1.6</v>
      </c>
      <c r="T21" s="179">
        <v>0.5</v>
      </c>
      <c r="U21" s="169">
        <v>0</v>
      </c>
      <c r="V21" s="165">
        <f t="shared" si="5"/>
        <v>2</v>
      </c>
      <c r="W21" s="170">
        <v>0.75</v>
      </c>
      <c r="X21" s="169">
        <v>5770000</v>
      </c>
      <c r="Y21" s="181">
        <f t="shared" si="9"/>
        <v>1.9999999999999996</v>
      </c>
      <c r="Z21" s="166">
        <v>1</v>
      </c>
      <c r="AA21" s="163">
        <v>5841000</v>
      </c>
      <c r="AB21" s="171">
        <f t="shared" si="6"/>
        <v>8</v>
      </c>
      <c r="AC21" s="184">
        <f t="shared" si="7"/>
        <v>11611000</v>
      </c>
      <c r="AD21" s="173">
        <f t="shared" si="0"/>
        <v>8.8000000000000007</v>
      </c>
      <c r="AE21" s="173">
        <f t="shared" si="0"/>
        <v>42369000</v>
      </c>
      <c r="AF21" s="174">
        <f t="shared" si="1"/>
        <v>880.00000000000011</v>
      </c>
      <c r="AG21" s="175">
        <f t="shared" si="2"/>
        <v>106.06112719630192</v>
      </c>
      <c r="AH21" s="185">
        <f t="shared" si="8"/>
        <v>71000</v>
      </c>
    </row>
    <row r="22" spans="1:34" s="154" customFormat="1" ht="57.75" customHeight="1" x14ac:dyDescent="0.25">
      <c r="A22" s="101">
        <v>12</v>
      </c>
      <c r="B22" s="102"/>
      <c r="C22" s="102"/>
      <c r="D22" s="177"/>
      <c r="E22" s="177"/>
      <c r="F22" s="191"/>
      <c r="G22" s="192" t="s">
        <v>59</v>
      </c>
      <c r="H22" s="192" t="s">
        <v>60</v>
      </c>
      <c r="I22" s="193" t="s">
        <v>28</v>
      </c>
      <c r="J22" s="194">
        <v>100</v>
      </c>
      <c r="K22" s="195">
        <f>SUM(K23:K26)</f>
        <v>9078221647</v>
      </c>
      <c r="L22" s="196">
        <v>100</v>
      </c>
      <c r="M22" s="195">
        <f>SUM(M23:M26)</f>
        <v>5863378906</v>
      </c>
      <c r="N22" s="195">
        <v>100</v>
      </c>
      <c r="O22" s="195">
        <f>SUM(O23:O26)</f>
        <v>7743651489</v>
      </c>
      <c r="P22" s="197">
        <f t="shared" si="3"/>
        <v>20</v>
      </c>
      <c r="Q22" s="198">
        <f>AVERAGE(Q23:Q26)</f>
        <v>0.2</v>
      </c>
      <c r="R22" s="199">
        <f>SUM(R23:R26)</f>
        <v>1667391259</v>
      </c>
      <c r="S22" s="145">
        <f t="shared" si="4"/>
        <v>17.5</v>
      </c>
      <c r="T22" s="200">
        <f>AVERAGE(T23:T26)</f>
        <v>0.375</v>
      </c>
      <c r="U22" s="201">
        <f>SUM(U23:U26)</f>
        <v>1802922959</v>
      </c>
      <c r="V22" s="202">
        <f t="shared" si="5"/>
        <v>31.25</v>
      </c>
      <c r="W22" s="203">
        <f>AVERAGE(W23:W26)</f>
        <v>0.6875</v>
      </c>
      <c r="X22" s="201">
        <f>SUM(X23:X26)</f>
        <v>1709224408</v>
      </c>
      <c r="Y22" s="202">
        <f>Z22*N22-P22-S22-V22</f>
        <v>31.25</v>
      </c>
      <c r="Z22" s="203">
        <f>AVERAGE(Z23:Z26)</f>
        <v>1</v>
      </c>
      <c r="AA22" s="201">
        <f>SUM(AA23:AA26)</f>
        <v>1542974914</v>
      </c>
      <c r="AB22" s="150">
        <f t="shared" si="6"/>
        <v>100</v>
      </c>
      <c r="AC22" s="204">
        <f>SUM(AC23:AC26)</f>
        <v>6722513540</v>
      </c>
      <c r="AD22" s="205">
        <f t="shared" si="0"/>
        <v>200</v>
      </c>
      <c r="AE22" s="205">
        <f t="shared" si="0"/>
        <v>12585892446</v>
      </c>
      <c r="AF22" s="206">
        <f t="shared" si="1"/>
        <v>200</v>
      </c>
      <c r="AG22" s="206">
        <f t="shared" si="2"/>
        <v>138.63830313241084</v>
      </c>
    </row>
    <row r="23" spans="1:34" ht="50.25" customHeight="1" x14ac:dyDescent="0.25">
      <c r="A23" s="76">
        <v>13</v>
      </c>
      <c r="B23" s="102"/>
      <c r="C23" s="102"/>
      <c r="D23" s="156"/>
      <c r="E23" s="156"/>
      <c r="F23" s="157"/>
      <c r="G23" s="158" t="s">
        <v>61</v>
      </c>
      <c r="H23" s="158" t="s">
        <v>62</v>
      </c>
      <c r="I23" s="159" t="s">
        <v>63</v>
      </c>
      <c r="J23" s="160">
        <v>45</v>
      </c>
      <c r="K23" s="161">
        <v>8271084057</v>
      </c>
      <c r="L23" s="162">
        <v>580</v>
      </c>
      <c r="M23" s="163">
        <v>5210463906</v>
      </c>
      <c r="N23" s="164">
        <v>45</v>
      </c>
      <c r="O23" s="164">
        <v>7060433467</v>
      </c>
      <c r="P23" s="165">
        <f t="shared" si="3"/>
        <v>11.25</v>
      </c>
      <c r="Q23" s="179">
        <v>0.25</v>
      </c>
      <c r="R23" s="167">
        <v>1571439337</v>
      </c>
      <c r="S23" s="165">
        <f t="shared" si="4"/>
        <v>11.25</v>
      </c>
      <c r="T23" s="179">
        <v>0.5</v>
      </c>
      <c r="U23" s="169">
        <f>3251126996-R23</f>
        <v>1679687659</v>
      </c>
      <c r="V23" s="165">
        <f t="shared" si="5"/>
        <v>11.25</v>
      </c>
      <c r="W23" s="170">
        <v>0.75</v>
      </c>
      <c r="X23" s="169">
        <v>1598446401</v>
      </c>
      <c r="Y23" s="181">
        <f>Z23*N23-P23-S23-V23</f>
        <v>11.25</v>
      </c>
      <c r="Z23" s="166">
        <v>1</v>
      </c>
      <c r="AA23" s="163">
        <v>1298472295</v>
      </c>
      <c r="AB23" s="171">
        <f t="shared" si="6"/>
        <v>45</v>
      </c>
      <c r="AC23" s="172">
        <f>R23+U23+X23+AA23</f>
        <v>6148045692</v>
      </c>
      <c r="AD23" s="173">
        <f t="shared" si="0"/>
        <v>625</v>
      </c>
      <c r="AE23" s="173">
        <f t="shared" si="0"/>
        <v>11358509598</v>
      </c>
      <c r="AF23" s="174">
        <f t="shared" si="1"/>
        <v>1388.8888888888889</v>
      </c>
      <c r="AG23" s="175">
        <f t="shared" si="2"/>
        <v>137.32794298453592</v>
      </c>
      <c r="AH23" s="176">
        <f>AA23-R23-U23-X23</f>
        <v>-3551101102</v>
      </c>
    </row>
    <row r="24" spans="1:34" ht="69" customHeight="1" x14ac:dyDescent="0.25">
      <c r="A24" s="101">
        <v>14</v>
      </c>
      <c r="B24" s="102"/>
      <c r="C24" s="102"/>
      <c r="D24" s="177"/>
      <c r="E24" s="177"/>
      <c r="F24" s="157"/>
      <c r="G24" s="158" t="s">
        <v>64</v>
      </c>
      <c r="H24" s="158" t="s">
        <v>65</v>
      </c>
      <c r="I24" s="159" t="s">
        <v>45</v>
      </c>
      <c r="J24" s="160">
        <v>1</v>
      </c>
      <c r="K24" s="161">
        <v>627848653</v>
      </c>
      <c r="L24" s="162">
        <v>0.83</v>
      </c>
      <c r="M24" s="163">
        <v>493672000</v>
      </c>
      <c r="N24" s="164">
        <v>1</v>
      </c>
      <c r="O24" s="164">
        <v>530044725</v>
      </c>
      <c r="P24" s="165">
        <v>0</v>
      </c>
      <c r="Q24" s="179">
        <v>0.25</v>
      </c>
      <c r="R24" s="167">
        <v>80411922</v>
      </c>
      <c r="S24" s="165">
        <v>0</v>
      </c>
      <c r="T24" s="179">
        <v>0.5</v>
      </c>
      <c r="U24" s="169">
        <f>183561922-R24</f>
        <v>103150000</v>
      </c>
      <c r="V24" s="165">
        <v>0</v>
      </c>
      <c r="W24" s="170">
        <v>0.75</v>
      </c>
      <c r="X24" s="169">
        <v>94919007</v>
      </c>
      <c r="Y24" s="181">
        <v>1</v>
      </c>
      <c r="Z24" s="166">
        <v>1</v>
      </c>
      <c r="AA24" s="163">
        <v>197138119</v>
      </c>
      <c r="AB24" s="171">
        <f t="shared" si="6"/>
        <v>1</v>
      </c>
      <c r="AC24" s="172">
        <f>R24+U24+X24+AA24</f>
        <v>475619048</v>
      </c>
      <c r="AD24" s="173">
        <f t="shared" si="0"/>
        <v>1.83</v>
      </c>
      <c r="AE24" s="173">
        <f t="shared" si="0"/>
        <v>969291048</v>
      </c>
      <c r="AF24" s="175">
        <f t="shared" si="1"/>
        <v>183</v>
      </c>
      <c r="AG24" s="175">
        <f t="shared" si="2"/>
        <v>154.38291431677246</v>
      </c>
      <c r="AH24" s="176">
        <f>AA24-R24-U24-X24</f>
        <v>-81342810</v>
      </c>
    </row>
    <row r="25" spans="1:34" ht="105.75" customHeight="1" x14ac:dyDescent="0.25">
      <c r="A25" s="76">
        <v>15</v>
      </c>
      <c r="B25" s="102"/>
      <c r="C25" s="102"/>
      <c r="D25" s="156"/>
      <c r="E25" s="156"/>
      <c r="F25" s="157"/>
      <c r="G25" s="158" t="s">
        <v>66</v>
      </c>
      <c r="H25" s="158" t="s">
        <v>67</v>
      </c>
      <c r="I25" s="159" t="s">
        <v>56</v>
      </c>
      <c r="J25" s="160">
        <v>1</v>
      </c>
      <c r="K25" s="161">
        <v>89717369</v>
      </c>
      <c r="L25" s="162">
        <v>1</v>
      </c>
      <c r="M25" s="163">
        <v>83779000</v>
      </c>
      <c r="N25" s="164">
        <v>1</v>
      </c>
      <c r="O25" s="164">
        <v>77372082</v>
      </c>
      <c r="P25" s="165">
        <f t="shared" si="3"/>
        <v>0</v>
      </c>
      <c r="Q25" s="179">
        <v>0</v>
      </c>
      <c r="R25" s="180">
        <v>0</v>
      </c>
      <c r="S25" s="165">
        <f t="shared" ref="S25:S29" si="10">T25*N25-P25</f>
        <v>0</v>
      </c>
      <c r="T25" s="179">
        <v>0</v>
      </c>
      <c r="U25" s="169">
        <v>0</v>
      </c>
      <c r="V25" s="165">
        <v>0</v>
      </c>
      <c r="W25" s="170">
        <v>0.5</v>
      </c>
      <c r="X25" s="169">
        <v>0</v>
      </c>
      <c r="Y25" s="181">
        <f t="shared" ref="Y25" si="11">Z25*N25-P25-S25-V25</f>
        <v>1</v>
      </c>
      <c r="Z25" s="166">
        <v>1</v>
      </c>
      <c r="AA25" s="163">
        <v>36166600</v>
      </c>
      <c r="AB25" s="171">
        <f t="shared" si="6"/>
        <v>1</v>
      </c>
      <c r="AC25" s="184">
        <f>R25+U25+X25+AA25</f>
        <v>36166600</v>
      </c>
      <c r="AD25" s="173">
        <f t="shared" si="0"/>
        <v>2</v>
      </c>
      <c r="AE25" s="173">
        <f t="shared" si="0"/>
        <v>119945600</v>
      </c>
      <c r="AF25" s="174">
        <f t="shared" si="1"/>
        <v>200</v>
      </c>
      <c r="AG25" s="175">
        <f t="shared" si="2"/>
        <v>133.69273011115607</v>
      </c>
      <c r="AH25" s="16"/>
    </row>
    <row r="26" spans="1:34" ht="129" customHeight="1" x14ac:dyDescent="0.25">
      <c r="A26" s="101">
        <v>16</v>
      </c>
      <c r="B26" s="102"/>
      <c r="C26" s="102"/>
      <c r="D26" s="177"/>
      <c r="E26" s="177"/>
      <c r="F26" s="157"/>
      <c r="G26" s="158" t="s">
        <v>68</v>
      </c>
      <c r="H26" s="158" t="s">
        <v>69</v>
      </c>
      <c r="I26" s="159" t="s">
        <v>56</v>
      </c>
      <c r="J26" s="160">
        <v>1</v>
      </c>
      <c r="K26" s="161">
        <v>89571568</v>
      </c>
      <c r="L26" s="162">
        <v>3.32</v>
      </c>
      <c r="M26" s="163">
        <v>75464000</v>
      </c>
      <c r="N26" s="164">
        <v>1</v>
      </c>
      <c r="O26" s="164">
        <v>75801215</v>
      </c>
      <c r="P26" s="165">
        <v>0</v>
      </c>
      <c r="Q26" s="179">
        <v>0.3</v>
      </c>
      <c r="R26" s="167">
        <v>15540000</v>
      </c>
      <c r="S26" s="165">
        <v>0</v>
      </c>
      <c r="T26" s="179">
        <v>0.5</v>
      </c>
      <c r="U26" s="169">
        <f>35625300-R26</f>
        <v>20085300</v>
      </c>
      <c r="V26" s="165">
        <v>0</v>
      </c>
      <c r="W26" s="170">
        <v>0.75</v>
      </c>
      <c r="X26" s="169">
        <v>15859000</v>
      </c>
      <c r="Y26" s="181">
        <v>1</v>
      </c>
      <c r="Z26" s="166">
        <v>1</v>
      </c>
      <c r="AA26" s="163">
        <v>11197900</v>
      </c>
      <c r="AB26" s="171">
        <f t="shared" si="6"/>
        <v>1</v>
      </c>
      <c r="AC26" s="172">
        <f>R26+U26+X26+AA26</f>
        <v>62682200</v>
      </c>
      <c r="AD26" s="173">
        <f t="shared" si="0"/>
        <v>4.32</v>
      </c>
      <c r="AE26" s="173">
        <f t="shared" si="0"/>
        <v>138146200</v>
      </c>
      <c r="AF26" s="175">
        <f t="shared" si="1"/>
        <v>432</v>
      </c>
      <c r="AG26" s="175">
        <f t="shared" si="2"/>
        <v>154.2299672592535</v>
      </c>
      <c r="AH26" s="176">
        <f>AA26-R26-U26-X26</f>
        <v>-40286400</v>
      </c>
    </row>
    <row r="27" spans="1:34" s="154" customFormat="1" ht="86.25" customHeight="1" x14ac:dyDescent="0.25">
      <c r="A27" s="76">
        <v>17</v>
      </c>
      <c r="B27" s="102"/>
      <c r="C27" s="102"/>
      <c r="D27" s="156"/>
      <c r="E27" s="207" t="s">
        <v>70</v>
      </c>
      <c r="F27" s="208" t="s">
        <v>71</v>
      </c>
      <c r="G27" s="192" t="s">
        <v>72</v>
      </c>
      <c r="H27" s="192" t="s">
        <v>73</v>
      </c>
      <c r="I27" s="193" t="s">
        <v>28</v>
      </c>
      <c r="J27" s="194">
        <v>100</v>
      </c>
      <c r="K27" s="197">
        <f>SUM(K28:K29)</f>
        <v>46093569</v>
      </c>
      <c r="L27" s="209">
        <v>0</v>
      </c>
      <c r="M27" s="210">
        <f>SUM(M28:M29)</f>
        <v>0</v>
      </c>
      <c r="N27" s="195">
        <v>100</v>
      </c>
      <c r="O27" s="195">
        <f>SUM(O28:O29)</f>
        <v>46560000</v>
      </c>
      <c r="P27" s="211">
        <f t="shared" si="3"/>
        <v>0</v>
      </c>
      <c r="Q27" s="198">
        <f>AVERAGE(Q28:Q29)</f>
        <v>0</v>
      </c>
      <c r="R27" s="212">
        <f>SUM(R28:R29)</f>
        <v>0</v>
      </c>
      <c r="S27" s="202">
        <f t="shared" si="10"/>
        <v>0</v>
      </c>
      <c r="T27" s="200">
        <f>AVERAGE(T28:T29)</f>
        <v>0</v>
      </c>
      <c r="U27" s="201">
        <f>SUM(U28:U29)</f>
        <v>0</v>
      </c>
      <c r="V27" s="202">
        <f>W27*N27-P27-S27</f>
        <v>0</v>
      </c>
      <c r="W27" s="203">
        <f>AVERAGE(W28:W29)</f>
        <v>0</v>
      </c>
      <c r="X27" s="201">
        <f>SUM(X28:X29)</f>
        <v>0</v>
      </c>
      <c r="Y27" s="202">
        <f>Z27*N27-P27-S27-V27</f>
        <v>100</v>
      </c>
      <c r="Z27" s="203">
        <f>AVERAGE(Z28:Z29)</f>
        <v>1</v>
      </c>
      <c r="AA27" s="201">
        <f>SUM(AA28:AA29)</f>
        <v>41920000</v>
      </c>
      <c r="AB27" s="213">
        <f t="shared" si="6"/>
        <v>100</v>
      </c>
      <c r="AC27" s="195">
        <f>SUM(AC28:AC29)</f>
        <v>41920000</v>
      </c>
      <c r="AD27" s="214">
        <f t="shared" si="0"/>
        <v>100</v>
      </c>
      <c r="AE27" s="214">
        <f t="shared" si="0"/>
        <v>41920000</v>
      </c>
      <c r="AF27" s="215">
        <f t="shared" si="1"/>
        <v>100</v>
      </c>
      <c r="AG27" s="215">
        <f t="shared" si="2"/>
        <v>90.945441868474106</v>
      </c>
    </row>
    <row r="28" spans="1:34" ht="57" customHeight="1" x14ac:dyDescent="0.25">
      <c r="A28" s="101">
        <v>18</v>
      </c>
      <c r="B28" s="102"/>
      <c r="C28" s="102"/>
      <c r="D28" s="177"/>
      <c r="E28" s="177"/>
      <c r="F28" s="157"/>
      <c r="G28" s="158" t="s">
        <v>74</v>
      </c>
      <c r="H28" s="158" t="s">
        <v>75</v>
      </c>
      <c r="I28" s="159" t="s">
        <v>76</v>
      </c>
      <c r="J28" s="160">
        <v>60</v>
      </c>
      <c r="K28" s="161">
        <v>20354033</v>
      </c>
      <c r="L28" s="216">
        <v>0</v>
      </c>
      <c r="M28" s="217">
        <v>0</v>
      </c>
      <c r="N28" s="164">
        <v>40</v>
      </c>
      <c r="O28" s="164">
        <v>20560000</v>
      </c>
      <c r="P28" s="165">
        <f t="shared" si="3"/>
        <v>0</v>
      </c>
      <c r="Q28" s="179">
        <v>0</v>
      </c>
      <c r="R28" s="180">
        <v>0</v>
      </c>
      <c r="S28" s="165">
        <f t="shared" si="10"/>
        <v>0</v>
      </c>
      <c r="T28" s="179">
        <v>0</v>
      </c>
      <c r="U28" s="169">
        <v>0</v>
      </c>
      <c r="V28" s="165">
        <f t="shared" si="5"/>
        <v>0</v>
      </c>
      <c r="W28" s="170">
        <v>0</v>
      </c>
      <c r="X28" s="169">
        <v>0</v>
      </c>
      <c r="Y28" s="218">
        <f t="shared" ref="Y28:Y29" si="12">Z28*N28-P28-S28-V28</f>
        <v>40</v>
      </c>
      <c r="Z28" s="166">
        <v>1</v>
      </c>
      <c r="AA28" s="163">
        <v>19200000</v>
      </c>
      <c r="AB28" s="219">
        <f t="shared" si="6"/>
        <v>40</v>
      </c>
      <c r="AC28" s="184">
        <f>R28+U28+X28+AA28</f>
        <v>19200000</v>
      </c>
      <c r="AD28" s="220">
        <f t="shared" si="0"/>
        <v>40</v>
      </c>
      <c r="AE28" s="220">
        <f t="shared" si="0"/>
        <v>19200000</v>
      </c>
      <c r="AF28" s="221">
        <f t="shared" si="1"/>
        <v>66.666666666666657</v>
      </c>
      <c r="AG28" s="221">
        <f t="shared" si="2"/>
        <v>94.330199818384884</v>
      </c>
      <c r="AH28" s="16"/>
    </row>
    <row r="29" spans="1:34" ht="45" customHeight="1" x14ac:dyDescent="0.25">
      <c r="A29" s="76">
        <v>19</v>
      </c>
      <c r="B29" s="102"/>
      <c r="C29" s="102"/>
      <c r="D29" s="156"/>
      <c r="E29" s="156"/>
      <c r="F29" s="157"/>
      <c r="G29" s="158" t="s">
        <v>77</v>
      </c>
      <c r="H29" s="158" t="s">
        <v>78</v>
      </c>
      <c r="I29" s="159" t="s">
        <v>79</v>
      </c>
      <c r="J29" s="160">
        <v>60</v>
      </c>
      <c r="K29" s="161">
        <v>25739536</v>
      </c>
      <c r="L29" s="216">
        <v>0</v>
      </c>
      <c r="M29" s="217">
        <v>0</v>
      </c>
      <c r="N29" s="164">
        <v>40</v>
      </c>
      <c r="O29" s="164">
        <v>26000000</v>
      </c>
      <c r="P29" s="165">
        <f t="shared" si="3"/>
        <v>0</v>
      </c>
      <c r="Q29" s="179">
        <v>0</v>
      </c>
      <c r="R29" s="180">
        <v>0</v>
      </c>
      <c r="S29" s="165">
        <f t="shared" si="10"/>
        <v>0</v>
      </c>
      <c r="T29" s="179">
        <v>0</v>
      </c>
      <c r="U29" s="169">
        <v>0</v>
      </c>
      <c r="V29" s="165">
        <f t="shared" si="5"/>
        <v>0</v>
      </c>
      <c r="W29" s="170">
        <v>0</v>
      </c>
      <c r="X29" s="169">
        <v>0</v>
      </c>
      <c r="Y29" s="218">
        <f t="shared" si="12"/>
        <v>40</v>
      </c>
      <c r="Z29" s="166">
        <v>1</v>
      </c>
      <c r="AA29" s="163">
        <v>22720000</v>
      </c>
      <c r="AB29" s="219">
        <f t="shared" si="6"/>
        <v>40</v>
      </c>
      <c r="AC29" s="184">
        <f>R29+U29+X29+AA29</f>
        <v>22720000</v>
      </c>
      <c r="AD29" s="220">
        <f t="shared" si="0"/>
        <v>40</v>
      </c>
      <c r="AE29" s="220">
        <f t="shared" si="0"/>
        <v>22720000</v>
      </c>
      <c r="AF29" s="221">
        <f t="shared" si="1"/>
        <v>66.666666666666657</v>
      </c>
      <c r="AG29" s="221">
        <f t="shared" si="2"/>
        <v>88.268879439007762</v>
      </c>
      <c r="AH29" s="16"/>
    </row>
    <row r="30" spans="1:34" s="154" customFormat="1" ht="67.5" customHeight="1" x14ac:dyDescent="0.25">
      <c r="A30" s="101">
        <v>20</v>
      </c>
      <c r="B30" s="102"/>
      <c r="C30" s="102"/>
      <c r="D30" s="177"/>
      <c r="E30" s="177"/>
      <c r="F30" s="191"/>
      <c r="G30" s="192" t="s">
        <v>80</v>
      </c>
      <c r="H30" s="192" t="s">
        <v>81</v>
      </c>
      <c r="I30" s="193" t="s">
        <v>28</v>
      </c>
      <c r="J30" s="194">
        <v>100</v>
      </c>
      <c r="K30" s="197">
        <f>SUM(K31:K38)</f>
        <v>1166613722</v>
      </c>
      <c r="L30" s="196">
        <v>70</v>
      </c>
      <c r="M30" s="197">
        <f>SUM(M31:M38)</f>
        <v>580100392</v>
      </c>
      <c r="N30" s="195">
        <v>100</v>
      </c>
      <c r="O30" s="197">
        <f>SUM(O31:O38)</f>
        <v>656295964</v>
      </c>
      <c r="P30" s="222">
        <f>Q30*N30</f>
        <v>15.625</v>
      </c>
      <c r="Q30" s="198">
        <f>AVERAGE(Q31:Q38)</f>
        <v>0.15625</v>
      </c>
      <c r="R30" s="199">
        <f>SUM(R31:R38)</f>
        <v>34231921</v>
      </c>
      <c r="S30" s="202">
        <f>T30*N30-P30</f>
        <v>15.625</v>
      </c>
      <c r="T30" s="198">
        <f>AVERAGE(T31:T38)</f>
        <v>0.3125</v>
      </c>
      <c r="U30" s="197">
        <f>SUM(U31:U38)</f>
        <v>49974520</v>
      </c>
      <c r="V30" s="202">
        <f t="shared" si="5"/>
        <v>28.125</v>
      </c>
      <c r="W30" s="223">
        <f>AVERAGE(W31:W38)</f>
        <v>0.59375</v>
      </c>
      <c r="X30" s="197">
        <f>SUM(X31:X38)</f>
        <v>52792937</v>
      </c>
      <c r="Y30" s="202">
        <f>Z30*N30-P30-S30-V30</f>
        <v>40.625</v>
      </c>
      <c r="Z30" s="203">
        <f>AVERAGE(Z31:Z34)</f>
        <v>1</v>
      </c>
      <c r="AA30" s="201">
        <f>SUM(AA31:AA38)</f>
        <v>269885629</v>
      </c>
      <c r="AB30" s="150">
        <f t="shared" si="6"/>
        <v>100</v>
      </c>
      <c r="AC30" s="199">
        <f>SUM(AC31:AC38)</f>
        <v>406885007</v>
      </c>
      <c r="AD30" s="152">
        <f t="shared" si="0"/>
        <v>170</v>
      </c>
      <c r="AE30" s="152">
        <f t="shared" si="0"/>
        <v>986985399</v>
      </c>
      <c r="AF30" s="153">
        <f t="shared" si="1"/>
        <v>170</v>
      </c>
      <c r="AG30" s="153">
        <f t="shared" si="2"/>
        <v>84.602587847839487</v>
      </c>
    </row>
    <row r="31" spans="1:34" ht="71.25" customHeight="1" x14ac:dyDescent="0.25">
      <c r="A31" s="76">
        <v>21</v>
      </c>
      <c r="B31" s="102"/>
      <c r="C31" s="102"/>
      <c r="D31" s="156"/>
      <c r="E31" s="156"/>
      <c r="F31" s="157"/>
      <c r="G31" s="158" t="s">
        <v>82</v>
      </c>
      <c r="H31" s="158" t="s">
        <v>83</v>
      </c>
      <c r="I31" s="159" t="s">
        <v>79</v>
      </c>
      <c r="J31" s="160">
        <v>1</v>
      </c>
      <c r="K31" s="161">
        <v>18274799</v>
      </c>
      <c r="L31" s="162">
        <v>1</v>
      </c>
      <c r="M31" s="224">
        <v>19873000</v>
      </c>
      <c r="N31" s="164">
        <v>1</v>
      </c>
      <c r="O31" s="164">
        <v>16152260</v>
      </c>
      <c r="P31" s="165">
        <v>0</v>
      </c>
      <c r="Q31" s="179">
        <v>0.25</v>
      </c>
      <c r="R31" s="167">
        <v>3146500</v>
      </c>
      <c r="S31" s="165">
        <v>0</v>
      </c>
      <c r="T31" s="179">
        <v>0.5</v>
      </c>
      <c r="U31" s="169">
        <f>5293500-R31</f>
        <v>2147000</v>
      </c>
      <c r="V31" s="165">
        <v>0</v>
      </c>
      <c r="W31" s="170">
        <v>0.75</v>
      </c>
      <c r="X31" s="169">
        <v>3322000</v>
      </c>
      <c r="Y31" s="165">
        <v>1</v>
      </c>
      <c r="Z31" s="166">
        <v>1</v>
      </c>
      <c r="AA31" s="163">
        <v>6743000</v>
      </c>
      <c r="AB31" s="171">
        <f t="shared" si="6"/>
        <v>1</v>
      </c>
      <c r="AC31" s="172">
        <f t="shared" ref="AC31:AC38" si="13">R31+U31+X31+AA31</f>
        <v>15358500</v>
      </c>
      <c r="AD31" s="173">
        <f t="shared" si="0"/>
        <v>2</v>
      </c>
      <c r="AE31" s="173">
        <f t="shared" si="0"/>
        <v>35231500</v>
      </c>
      <c r="AF31" s="174">
        <f t="shared" si="1"/>
        <v>200</v>
      </c>
      <c r="AG31" s="175">
        <f t="shared" si="2"/>
        <v>192.78734611527057</v>
      </c>
      <c r="AH31" s="176">
        <f t="shared" ref="AH31:AH37" si="14">AA31-R31-U31-X31</f>
        <v>-1872500</v>
      </c>
    </row>
    <row r="32" spans="1:34" ht="63.75" customHeight="1" x14ac:dyDescent="0.25">
      <c r="A32" s="101">
        <v>22</v>
      </c>
      <c r="B32" s="102"/>
      <c r="C32" s="102"/>
      <c r="D32" s="177"/>
      <c r="E32" s="177"/>
      <c r="F32" s="157"/>
      <c r="G32" s="158" t="s">
        <v>84</v>
      </c>
      <c r="H32" s="158" t="s">
        <v>85</v>
      </c>
      <c r="I32" s="159" t="s">
        <v>79</v>
      </c>
      <c r="J32" s="160">
        <v>1</v>
      </c>
      <c r="K32" s="161">
        <v>195715605</v>
      </c>
      <c r="L32" s="162">
        <v>2.58</v>
      </c>
      <c r="M32" s="163">
        <v>135808500</v>
      </c>
      <c r="N32" s="164">
        <v>3</v>
      </c>
      <c r="O32" s="164">
        <v>111037536</v>
      </c>
      <c r="P32" s="165">
        <v>0</v>
      </c>
      <c r="Q32" s="179">
        <v>0.25</v>
      </c>
      <c r="R32" s="180">
        <v>0</v>
      </c>
      <c r="S32" s="165">
        <v>1</v>
      </c>
      <c r="T32" s="179">
        <v>0.5</v>
      </c>
      <c r="U32" s="169">
        <v>0</v>
      </c>
      <c r="V32" s="165">
        <f t="shared" si="5"/>
        <v>1.25</v>
      </c>
      <c r="W32" s="170">
        <v>0.75</v>
      </c>
      <c r="X32" s="169">
        <v>0</v>
      </c>
      <c r="Y32" s="165">
        <f t="shared" ref="Y32:Y38" si="15">Z32*N32-P32-S32-V32</f>
        <v>0.75</v>
      </c>
      <c r="Z32" s="166">
        <v>1</v>
      </c>
      <c r="AA32" s="163">
        <v>106188500</v>
      </c>
      <c r="AB32" s="171">
        <f t="shared" si="6"/>
        <v>3</v>
      </c>
      <c r="AC32" s="184">
        <f t="shared" si="13"/>
        <v>106188500</v>
      </c>
      <c r="AD32" s="173">
        <f t="shared" si="0"/>
        <v>5.58</v>
      </c>
      <c r="AE32" s="173">
        <f t="shared" si="0"/>
        <v>241997000</v>
      </c>
      <c r="AF32" s="175">
        <f t="shared" si="1"/>
        <v>558</v>
      </c>
      <c r="AG32" s="175">
        <f t="shared" si="2"/>
        <v>123.64726869888581</v>
      </c>
      <c r="AH32" s="185">
        <f t="shared" si="14"/>
        <v>106188500</v>
      </c>
    </row>
    <row r="33" spans="1:34" s="234" customFormat="1" ht="53.25" customHeight="1" x14ac:dyDescent="0.25">
      <c r="A33" s="76">
        <v>23</v>
      </c>
      <c r="B33" s="102"/>
      <c r="C33" s="102"/>
      <c r="D33" s="156"/>
      <c r="E33" s="156"/>
      <c r="F33" s="157"/>
      <c r="G33" s="158" t="s">
        <v>86</v>
      </c>
      <c r="H33" s="158" t="s">
        <v>87</v>
      </c>
      <c r="I33" s="159" t="s">
        <v>79</v>
      </c>
      <c r="J33" s="160">
        <v>1</v>
      </c>
      <c r="K33" s="161">
        <v>44062720</v>
      </c>
      <c r="L33" s="162">
        <v>2</v>
      </c>
      <c r="M33" s="225">
        <v>40842000</v>
      </c>
      <c r="N33" s="184">
        <v>2</v>
      </c>
      <c r="O33" s="184">
        <v>41524424</v>
      </c>
      <c r="P33" s="165">
        <v>0</v>
      </c>
      <c r="Q33" s="226">
        <v>0.25</v>
      </c>
      <c r="R33" s="227">
        <v>3399000</v>
      </c>
      <c r="S33" s="165">
        <v>0</v>
      </c>
      <c r="T33" s="226">
        <v>0.5</v>
      </c>
      <c r="U33" s="228">
        <f>7055000-R33</f>
        <v>3656000</v>
      </c>
      <c r="V33" s="165">
        <v>1</v>
      </c>
      <c r="W33" s="229">
        <v>0.75</v>
      </c>
      <c r="X33" s="230">
        <v>5576600</v>
      </c>
      <c r="Y33" s="165">
        <f t="shared" si="15"/>
        <v>1</v>
      </c>
      <c r="Z33" s="166">
        <v>1</v>
      </c>
      <c r="AA33" s="161">
        <v>20876500</v>
      </c>
      <c r="AB33" s="171">
        <f t="shared" si="6"/>
        <v>2</v>
      </c>
      <c r="AC33" s="231">
        <f t="shared" si="13"/>
        <v>33508100</v>
      </c>
      <c r="AD33" s="173">
        <f t="shared" si="0"/>
        <v>4</v>
      </c>
      <c r="AE33" s="173">
        <f t="shared" si="0"/>
        <v>74350100</v>
      </c>
      <c r="AF33" s="173">
        <f t="shared" si="1"/>
        <v>400</v>
      </c>
      <c r="AG33" s="232">
        <f t="shared" si="2"/>
        <v>168.73697311468743</v>
      </c>
      <c r="AH33" s="233">
        <f t="shared" si="14"/>
        <v>8244900</v>
      </c>
    </row>
    <row r="34" spans="1:34" ht="60" customHeight="1" x14ac:dyDescent="0.25">
      <c r="A34" s="101">
        <v>24</v>
      </c>
      <c r="B34" s="102"/>
      <c r="C34" s="102"/>
      <c r="D34" s="177"/>
      <c r="E34" s="177"/>
      <c r="F34" s="157"/>
      <c r="G34" s="158" t="s">
        <v>88</v>
      </c>
      <c r="H34" s="158" t="s">
        <v>89</v>
      </c>
      <c r="I34" s="159" t="s">
        <v>79</v>
      </c>
      <c r="J34" s="160">
        <v>1</v>
      </c>
      <c r="K34" s="161">
        <v>47765678</v>
      </c>
      <c r="L34" s="162">
        <v>1</v>
      </c>
      <c r="M34" s="163">
        <v>36948300</v>
      </c>
      <c r="N34" s="235">
        <v>1</v>
      </c>
      <c r="O34" s="235">
        <v>47867260</v>
      </c>
      <c r="P34" s="165">
        <v>0</v>
      </c>
      <c r="Q34" s="179">
        <v>0.25</v>
      </c>
      <c r="R34" s="167">
        <v>11565000</v>
      </c>
      <c r="S34" s="165">
        <v>0</v>
      </c>
      <c r="T34" s="179">
        <v>0.5</v>
      </c>
      <c r="U34" s="169">
        <f>14650300-R34</f>
        <v>3085300</v>
      </c>
      <c r="V34" s="165">
        <v>0</v>
      </c>
      <c r="W34" s="170">
        <v>0.75</v>
      </c>
      <c r="X34" s="169">
        <v>3256100</v>
      </c>
      <c r="Y34" s="218">
        <v>1</v>
      </c>
      <c r="Z34" s="166">
        <v>1</v>
      </c>
      <c r="AA34" s="163">
        <v>8856800</v>
      </c>
      <c r="AB34" s="171">
        <f t="shared" si="6"/>
        <v>1</v>
      </c>
      <c r="AC34" s="172">
        <f>R34+U34+X34+AA34</f>
        <v>26763200</v>
      </c>
      <c r="AD34" s="173">
        <f t="shared" si="0"/>
        <v>2</v>
      </c>
      <c r="AE34" s="173">
        <f t="shared" si="0"/>
        <v>63711500</v>
      </c>
      <c r="AF34" s="173">
        <f t="shared" si="1"/>
        <v>200</v>
      </c>
      <c r="AG34" s="232">
        <f t="shared" si="2"/>
        <v>133.38343067170533</v>
      </c>
      <c r="AH34" s="176">
        <f t="shared" si="14"/>
        <v>-9049600</v>
      </c>
    </row>
    <row r="35" spans="1:34" ht="70.5" customHeight="1" x14ac:dyDescent="0.25">
      <c r="A35" s="76">
        <v>25</v>
      </c>
      <c r="B35" s="102"/>
      <c r="C35" s="102"/>
      <c r="D35" s="156"/>
      <c r="E35" s="156"/>
      <c r="F35" s="157"/>
      <c r="G35" s="158" t="s">
        <v>90</v>
      </c>
      <c r="H35" s="158" t="s">
        <v>91</v>
      </c>
      <c r="I35" s="159" t="s">
        <v>45</v>
      </c>
      <c r="J35" s="160">
        <v>1</v>
      </c>
      <c r="K35" s="161">
        <v>48496464</v>
      </c>
      <c r="L35" s="162">
        <v>0.8</v>
      </c>
      <c r="M35" s="163">
        <v>21560000</v>
      </c>
      <c r="N35" s="235">
        <v>1</v>
      </c>
      <c r="O35" s="235">
        <v>42863808</v>
      </c>
      <c r="P35" s="165">
        <f t="shared" si="3"/>
        <v>0</v>
      </c>
      <c r="Q35" s="179">
        <v>0</v>
      </c>
      <c r="R35" s="180">
        <v>0</v>
      </c>
      <c r="S35" s="165">
        <f t="shared" ref="S35:S70" si="16">T35*N35-P35</f>
        <v>0</v>
      </c>
      <c r="T35" s="179">
        <v>0</v>
      </c>
      <c r="U35" s="169">
        <v>5865000</v>
      </c>
      <c r="V35" s="165">
        <f t="shared" ref="V35:V44" si="17">W35*N35-P35-S35</f>
        <v>0</v>
      </c>
      <c r="W35" s="170">
        <v>0</v>
      </c>
      <c r="X35" s="169">
        <v>6745000</v>
      </c>
      <c r="Y35" s="218">
        <f t="shared" si="15"/>
        <v>1</v>
      </c>
      <c r="Z35" s="166">
        <v>1</v>
      </c>
      <c r="AA35" s="163">
        <v>12170000</v>
      </c>
      <c r="AB35" s="171">
        <f t="shared" si="6"/>
        <v>1</v>
      </c>
      <c r="AC35" s="172">
        <f t="shared" si="13"/>
        <v>24780000</v>
      </c>
      <c r="AD35" s="173">
        <f t="shared" si="0"/>
        <v>1.8</v>
      </c>
      <c r="AE35" s="173">
        <f t="shared" si="0"/>
        <v>46340000</v>
      </c>
      <c r="AF35" s="173">
        <f t="shared" si="1"/>
        <v>180</v>
      </c>
      <c r="AG35" s="232">
        <f t="shared" si="2"/>
        <v>95.553358281956392</v>
      </c>
      <c r="AH35" s="187">
        <f t="shared" si="14"/>
        <v>-440000</v>
      </c>
    </row>
    <row r="36" spans="1:34" ht="45" customHeight="1" x14ac:dyDescent="0.25">
      <c r="A36" s="101">
        <v>26</v>
      </c>
      <c r="B36" s="102"/>
      <c r="C36" s="102"/>
      <c r="D36" s="177"/>
      <c r="E36" s="177"/>
      <c r="F36" s="157"/>
      <c r="G36" s="158" t="s">
        <v>92</v>
      </c>
      <c r="H36" s="158" t="s">
        <v>93</v>
      </c>
      <c r="I36" s="159" t="s">
        <v>56</v>
      </c>
      <c r="J36" s="160">
        <v>1</v>
      </c>
      <c r="K36" s="161">
        <v>24933606</v>
      </c>
      <c r="L36" s="162">
        <v>0.75</v>
      </c>
      <c r="M36" s="163">
        <v>9950439</v>
      </c>
      <c r="N36" s="164">
        <v>1</v>
      </c>
      <c r="O36" s="164">
        <v>22037676</v>
      </c>
      <c r="P36" s="165">
        <v>0</v>
      </c>
      <c r="Q36" s="179">
        <v>0.25</v>
      </c>
      <c r="R36" s="167">
        <v>1440311</v>
      </c>
      <c r="S36" s="165">
        <v>0</v>
      </c>
      <c r="T36" s="179">
        <v>0.5</v>
      </c>
      <c r="U36" s="169">
        <f>4310877-R36</f>
        <v>2870566</v>
      </c>
      <c r="V36" s="165">
        <v>0</v>
      </c>
      <c r="W36" s="170">
        <v>0.75</v>
      </c>
      <c r="X36" s="169">
        <v>2951597</v>
      </c>
      <c r="Y36" s="218">
        <v>1</v>
      </c>
      <c r="Z36" s="166">
        <v>1</v>
      </c>
      <c r="AA36" s="163">
        <v>5722100</v>
      </c>
      <c r="AB36" s="171">
        <f t="shared" si="6"/>
        <v>1</v>
      </c>
      <c r="AC36" s="172">
        <f t="shared" si="13"/>
        <v>12984574</v>
      </c>
      <c r="AD36" s="173">
        <f t="shared" si="0"/>
        <v>1.75</v>
      </c>
      <c r="AE36" s="173">
        <f t="shared" si="0"/>
        <v>22935013</v>
      </c>
      <c r="AF36" s="173">
        <f t="shared" si="1"/>
        <v>175</v>
      </c>
      <c r="AG36" s="232">
        <f t="shared" si="2"/>
        <v>91.984340331679263</v>
      </c>
      <c r="AH36" s="176">
        <f t="shared" si="14"/>
        <v>-1540374</v>
      </c>
    </row>
    <row r="37" spans="1:34" ht="55.5" customHeight="1" x14ac:dyDescent="0.25">
      <c r="A37" s="76">
        <v>27</v>
      </c>
      <c r="B37" s="102"/>
      <c r="C37" s="102"/>
      <c r="D37" s="156"/>
      <c r="E37" s="156"/>
      <c r="F37" s="157"/>
      <c r="G37" s="158" t="s">
        <v>94</v>
      </c>
      <c r="H37" s="158" t="s">
        <v>95</v>
      </c>
      <c r="I37" s="159" t="s">
        <v>56</v>
      </c>
      <c r="J37" s="160">
        <v>1</v>
      </c>
      <c r="K37" s="161">
        <v>773207766</v>
      </c>
      <c r="L37" s="162">
        <v>0.62999999999999989</v>
      </c>
      <c r="M37" s="163">
        <v>315118153</v>
      </c>
      <c r="N37" s="164">
        <v>1</v>
      </c>
      <c r="O37" s="164">
        <v>363133000</v>
      </c>
      <c r="P37" s="165">
        <f t="shared" si="3"/>
        <v>0</v>
      </c>
      <c r="Q37" s="179">
        <v>0</v>
      </c>
      <c r="R37" s="167">
        <v>14681110</v>
      </c>
      <c r="S37" s="165">
        <f t="shared" si="16"/>
        <v>0</v>
      </c>
      <c r="T37" s="179">
        <v>0</v>
      </c>
      <c r="U37" s="169">
        <f>35351764-R37</f>
        <v>20670654</v>
      </c>
      <c r="V37" s="165">
        <f t="shared" si="17"/>
        <v>0</v>
      </c>
      <c r="W37" s="170">
        <v>0</v>
      </c>
      <c r="X37" s="169">
        <v>30941640</v>
      </c>
      <c r="Y37" s="218">
        <f t="shared" si="15"/>
        <v>1</v>
      </c>
      <c r="Z37" s="166">
        <v>1</v>
      </c>
      <c r="AA37" s="163">
        <v>109328729</v>
      </c>
      <c r="AB37" s="171">
        <f t="shared" si="6"/>
        <v>1</v>
      </c>
      <c r="AC37" s="172">
        <f t="shared" si="13"/>
        <v>175622133</v>
      </c>
      <c r="AD37" s="173">
        <f t="shared" si="0"/>
        <v>1.63</v>
      </c>
      <c r="AE37" s="173">
        <f t="shared" si="0"/>
        <v>490740286</v>
      </c>
      <c r="AF37" s="173">
        <f t="shared" si="1"/>
        <v>163</v>
      </c>
      <c r="AG37" s="232">
        <f t="shared" si="2"/>
        <v>63.468101017495471</v>
      </c>
      <c r="AH37" s="176">
        <f t="shared" si="14"/>
        <v>43035325</v>
      </c>
    </row>
    <row r="38" spans="1:34" ht="55.5" customHeight="1" x14ac:dyDescent="0.25">
      <c r="A38" s="101">
        <v>28</v>
      </c>
      <c r="B38" s="102"/>
      <c r="C38" s="102"/>
      <c r="D38" s="177"/>
      <c r="E38" s="177"/>
      <c r="F38" s="157"/>
      <c r="G38" s="158" t="s">
        <v>96</v>
      </c>
      <c r="H38" s="158" t="s">
        <v>97</v>
      </c>
      <c r="I38" s="159" t="s">
        <v>45</v>
      </c>
      <c r="J38" s="160">
        <v>1</v>
      </c>
      <c r="K38" s="236">
        <v>14157084</v>
      </c>
      <c r="L38" s="216">
        <v>0</v>
      </c>
      <c r="M38" s="237">
        <v>0</v>
      </c>
      <c r="N38" s="164">
        <v>1</v>
      </c>
      <c r="O38" s="164">
        <v>11680000</v>
      </c>
      <c r="P38" s="165">
        <f t="shared" si="3"/>
        <v>0</v>
      </c>
      <c r="Q38" s="179">
        <v>0</v>
      </c>
      <c r="R38" s="180">
        <v>0</v>
      </c>
      <c r="S38" s="165">
        <f t="shared" si="16"/>
        <v>0</v>
      </c>
      <c r="T38" s="179">
        <v>0</v>
      </c>
      <c r="U38" s="169">
        <v>11680000</v>
      </c>
      <c r="V38" s="165">
        <f t="shared" si="17"/>
        <v>1</v>
      </c>
      <c r="W38" s="170">
        <v>1</v>
      </c>
      <c r="X38" s="238"/>
      <c r="Y38" s="218">
        <f t="shared" si="15"/>
        <v>0</v>
      </c>
      <c r="Z38" s="166">
        <v>1</v>
      </c>
      <c r="AA38" s="180">
        <v>0</v>
      </c>
      <c r="AB38" s="219">
        <f t="shared" si="6"/>
        <v>1</v>
      </c>
      <c r="AC38" s="239">
        <f t="shared" si="13"/>
        <v>11680000</v>
      </c>
      <c r="AD38" s="220">
        <f t="shared" si="0"/>
        <v>1</v>
      </c>
      <c r="AE38" s="240">
        <f t="shared" si="0"/>
        <v>11680000</v>
      </c>
      <c r="AF38" s="220">
        <f t="shared" si="1"/>
        <v>100</v>
      </c>
      <c r="AG38" s="241">
        <f t="shared" si="2"/>
        <v>82.502865703134916</v>
      </c>
      <c r="AH38" s="187">
        <f t="shared" ref="AH38" si="18">X38-R38-U38</f>
        <v>-11680000</v>
      </c>
    </row>
    <row r="39" spans="1:34" s="154" customFormat="1" ht="60.75" customHeight="1" x14ac:dyDescent="0.25">
      <c r="A39" s="76">
        <v>29</v>
      </c>
      <c r="B39" s="102"/>
      <c r="C39" s="102"/>
      <c r="D39" s="156"/>
      <c r="E39" s="156"/>
      <c r="F39" s="191"/>
      <c r="G39" s="192" t="s">
        <v>98</v>
      </c>
      <c r="H39" s="192" t="s">
        <v>99</v>
      </c>
      <c r="I39" s="193" t="s">
        <v>28</v>
      </c>
      <c r="J39" s="194">
        <v>100</v>
      </c>
      <c r="K39" s="197">
        <f>SUM(K40:K44)</f>
        <v>385474402</v>
      </c>
      <c r="L39" s="196">
        <v>4</v>
      </c>
      <c r="M39" s="197">
        <f>SUM(M42:M44)</f>
        <v>89380000</v>
      </c>
      <c r="N39" s="195">
        <v>100</v>
      </c>
      <c r="O39" s="195">
        <f>SUM(O42:O44)</f>
        <v>144024000</v>
      </c>
      <c r="P39" s="211">
        <f t="shared" si="3"/>
        <v>0</v>
      </c>
      <c r="Q39" s="198">
        <f>AVERAGE(Q42,Q44)</f>
        <v>0</v>
      </c>
      <c r="R39" s="242">
        <f>SUM(R42:R44)</f>
        <v>0</v>
      </c>
      <c r="S39" s="202">
        <f t="shared" si="16"/>
        <v>0</v>
      </c>
      <c r="T39" s="198">
        <f>AVERAGE(T42,T44)</f>
        <v>0</v>
      </c>
      <c r="U39" s="243">
        <f>SUM(U42,U44)</f>
        <v>0</v>
      </c>
      <c r="V39" s="202">
        <f t="shared" si="17"/>
        <v>0</v>
      </c>
      <c r="W39" s="223">
        <f>AVERAGE(W42,W44)</f>
        <v>0</v>
      </c>
      <c r="X39" s="213">
        <f>SUM(X42:X44)</f>
        <v>0</v>
      </c>
      <c r="Y39" s="202">
        <f>Z39*N39-P39-S39-V39</f>
        <v>100</v>
      </c>
      <c r="Z39" s="203">
        <f>AVERAGE(Z42,Z44)</f>
        <v>1</v>
      </c>
      <c r="AA39" s="195">
        <f>SUM(AA42,AA44)</f>
        <v>139723750</v>
      </c>
      <c r="AB39" s="195">
        <f>P39+S39+V39+Y39</f>
        <v>100</v>
      </c>
      <c r="AC39" s="195">
        <f>SUM(AC42:AC44)</f>
        <v>139723750</v>
      </c>
      <c r="AD39" s="152">
        <f t="shared" si="0"/>
        <v>104</v>
      </c>
      <c r="AE39" s="152">
        <f t="shared" si="0"/>
        <v>229103750</v>
      </c>
      <c r="AF39" s="152">
        <f t="shared" si="1"/>
        <v>104</v>
      </c>
      <c r="AG39" s="244">
        <f t="shared" si="2"/>
        <v>59.434231900047152</v>
      </c>
    </row>
    <row r="40" spans="1:34" s="252" customFormat="1" ht="60.75" hidden="1" customHeight="1" x14ac:dyDescent="0.25">
      <c r="A40" s="101">
        <v>30</v>
      </c>
      <c r="B40" s="102"/>
      <c r="C40" s="102"/>
      <c r="D40" s="177"/>
      <c r="E40" s="177"/>
      <c r="F40" s="245"/>
      <c r="G40" s="246" t="s">
        <v>100</v>
      </c>
      <c r="H40" s="247" t="s">
        <v>101</v>
      </c>
      <c r="I40" s="248" t="s">
        <v>102</v>
      </c>
      <c r="J40" s="249">
        <v>1</v>
      </c>
      <c r="K40" s="224">
        <v>70315088</v>
      </c>
      <c r="L40" s="250">
        <v>0</v>
      </c>
      <c r="M40" s="224">
        <v>0</v>
      </c>
      <c r="N40" s="251">
        <v>0</v>
      </c>
      <c r="O40" s="251">
        <v>0</v>
      </c>
      <c r="P40" s="251">
        <v>0</v>
      </c>
      <c r="Q40" s="251">
        <v>0</v>
      </c>
      <c r="R40" s="251">
        <v>0</v>
      </c>
      <c r="S40" s="251">
        <v>0</v>
      </c>
      <c r="T40" s="251">
        <v>0</v>
      </c>
      <c r="U40" s="251">
        <v>0</v>
      </c>
      <c r="V40" s="251">
        <v>0</v>
      </c>
      <c r="W40" s="251">
        <v>0</v>
      </c>
      <c r="X40" s="251">
        <v>0</v>
      </c>
      <c r="Y40" s="251"/>
      <c r="Z40" s="251"/>
      <c r="AA40" s="251"/>
      <c r="AB40" s="251">
        <v>0</v>
      </c>
      <c r="AC40" s="251">
        <v>0</v>
      </c>
      <c r="AD40" s="251">
        <v>0</v>
      </c>
      <c r="AE40" s="251">
        <v>0</v>
      </c>
      <c r="AF40" s="251">
        <v>0</v>
      </c>
      <c r="AG40" s="251">
        <v>0</v>
      </c>
    </row>
    <row r="41" spans="1:34" s="252" customFormat="1" ht="60.75" hidden="1" customHeight="1" x14ac:dyDescent="0.25">
      <c r="A41" s="76">
        <v>31</v>
      </c>
      <c r="B41" s="102"/>
      <c r="C41" s="102"/>
      <c r="D41" s="156"/>
      <c r="E41" s="156"/>
      <c r="F41" s="245"/>
      <c r="G41" s="247" t="s">
        <v>103</v>
      </c>
      <c r="H41" s="247" t="s">
        <v>104</v>
      </c>
      <c r="I41" s="248" t="s">
        <v>76</v>
      </c>
      <c r="J41" s="249">
        <v>1</v>
      </c>
      <c r="K41" s="224">
        <v>70315088</v>
      </c>
      <c r="L41" s="250">
        <v>0</v>
      </c>
      <c r="M41" s="250">
        <v>0</v>
      </c>
      <c r="N41" s="250">
        <v>0</v>
      </c>
      <c r="O41" s="250">
        <v>0</v>
      </c>
      <c r="P41" s="250">
        <v>0</v>
      </c>
      <c r="Q41" s="250">
        <v>0</v>
      </c>
      <c r="R41" s="250">
        <v>0</v>
      </c>
      <c r="S41" s="250">
        <v>0</v>
      </c>
      <c r="T41" s="250">
        <v>0</v>
      </c>
      <c r="U41" s="250">
        <v>0</v>
      </c>
      <c r="V41" s="250">
        <v>0</v>
      </c>
      <c r="W41" s="250">
        <v>0</v>
      </c>
      <c r="X41" s="250">
        <v>0</v>
      </c>
      <c r="Y41" s="250"/>
      <c r="Z41" s="250"/>
      <c r="AA41" s="250"/>
      <c r="AB41" s="250">
        <v>0</v>
      </c>
      <c r="AC41" s="250">
        <v>0</v>
      </c>
      <c r="AD41" s="250">
        <v>0</v>
      </c>
      <c r="AE41" s="250">
        <v>0</v>
      </c>
      <c r="AF41" s="250">
        <v>0</v>
      </c>
      <c r="AG41" s="250">
        <v>0</v>
      </c>
    </row>
    <row r="42" spans="1:34" ht="45" customHeight="1" x14ac:dyDescent="0.25">
      <c r="A42" s="101">
        <v>32</v>
      </c>
      <c r="B42" s="102"/>
      <c r="C42" s="102"/>
      <c r="D42" s="177"/>
      <c r="E42" s="177"/>
      <c r="F42" s="157"/>
      <c r="G42" s="158" t="s">
        <v>105</v>
      </c>
      <c r="H42" s="158" t="s">
        <v>106</v>
      </c>
      <c r="I42" s="159" t="s">
        <v>76</v>
      </c>
      <c r="J42" s="160">
        <v>1</v>
      </c>
      <c r="K42" s="161">
        <v>31820855</v>
      </c>
      <c r="L42" s="162">
        <v>36.5</v>
      </c>
      <c r="M42" s="163">
        <v>69400000</v>
      </c>
      <c r="N42" s="164">
        <v>1</v>
      </c>
      <c r="O42" s="164">
        <v>39174000</v>
      </c>
      <c r="P42" s="218">
        <v>0</v>
      </c>
      <c r="Q42" s="179">
        <v>0</v>
      </c>
      <c r="R42" s="180">
        <v>0</v>
      </c>
      <c r="S42" s="165">
        <f t="shared" si="16"/>
        <v>0</v>
      </c>
      <c r="T42" s="179">
        <v>0</v>
      </c>
      <c r="U42" s="169">
        <v>0</v>
      </c>
      <c r="V42" s="165">
        <f t="shared" si="17"/>
        <v>0</v>
      </c>
      <c r="W42" s="170">
        <v>0</v>
      </c>
      <c r="X42" s="169">
        <v>0</v>
      </c>
      <c r="Y42" s="165">
        <f t="shared" ref="Y42:Y44" si="19">Z42*N42-P42-S42-V42</f>
        <v>1</v>
      </c>
      <c r="Z42" s="166">
        <v>1</v>
      </c>
      <c r="AA42" s="163">
        <v>35800000</v>
      </c>
      <c r="AB42" s="171">
        <f t="shared" si="6"/>
        <v>1</v>
      </c>
      <c r="AC42" s="184">
        <f>R42+U42+X42+AA42</f>
        <v>35800000</v>
      </c>
      <c r="AD42" s="173">
        <f t="shared" si="0"/>
        <v>37.5</v>
      </c>
      <c r="AE42" s="173">
        <f t="shared" si="0"/>
        <v>105200000</v>
      </c>
      <c r="AF42" s="173">
        <f t="shared" si="1"/>
        <v>3750</v>
      </c>
      <c r="AG42" s="232">
        <f t="shared" si="2"/>
        <v>330.60079623881882</v>
      </c>
      <c r="AH42" s="185">
        <f>AA42-R42-U42-X42</f>
        <v>35800000</v>
      </c>
    </row>
    <row r="43" spans="1:34" ht="45" hidden="1" customHeight="1" x14ac:dyDescent="0.25">
      <c r="A43" s="76">
        <v>33</v>
      </c>
      <c r="B43" s="102"/>
      <c r="C43" s="102"/>
      <c r="D43" s="156"/>
      <c r="E43" s="156"/>
      <c r="F43" s="157"/>
      <c r="G43" s="253" t="s">
        <v>107</v>
      </c>
      <c r="H43" s="158" t="s">
        <v>108</v>
      </c>
      <c r="I43" s="159" t="s">
        <v>76</v>
      </c>
      <c r="J43" s="254">
        <v>3</v>
      </c>
      <c r="K43" s="255">
        <v>30315088</v>
      </c>
      <c r="L43" s="162">
        <v>0</v>
      </c>
      <c r="M43" s="162">
        <v>0</v>
      </c>
      <c r="N43" s="162">
        <v>0</v>
      </c>
      <c r="O43" s="162">
        <v>0</v>
      </c>
      <c r="P43" s="162">
        <v>0</v>
      </c>
      <c r="Q43" s="162">
        <v>0</v>
      </c>
      <c r="R43" s="162">
        <v>0</v>
      </c>
      <c r="S43" s="162">
        <v>0</v>
      </c>
      <c r="T43" s="162">
        <v>0</v>
      </c>
      <c r="U43" s="162">
        <v>0</v>
      </c>
      <c r="V43" s="162">
        <v>0</v>
      </c>
      <c r="W43" s="162">
        <v>0</v>
      </c>
      <c r="X43" s="162">
        <v>0</v>
      </c>
      <c r="Y43" s="162">
        <v>0</v>
      </c>
      <c r="Z43" s="162">
        <v>0</v>
      </c>
      <c r="AA43" s="162"/>
      <c r="AB43" s="162">
        <v>0</v>
      </c>
      <c r="AC43" s="162">
        <v>0</v>
      </c>
      <c r="AD43" s="162">
        <v>0</v>
      </c>
      <c r="AE43" s="162">
        <v>0</v>
      </c>
      <c r="AF43" s="162">
        <v>0</v>
      </c>
      <c r="AG43" s="162">
        <v>0</v>
      </c>
      <c r="AH43" s="16"/>
    </row>
    <row r="44" spans="1:34" ht="71.25" customHeight="1" x14ac:dyDescent="0.25">
      <c r="A44" s="101">
        <v>34</v>
      </c>
      <c r="B44" s="102"/>
      <c r="C44" s="102"/>
      <c r="D44" s="177"/>
      <c r="E44" s="177"/>
      <c r="F44" s="157"/>
      <c r="G44" s="253" t="s">
        <v>109</v>
      </c>
      <c r="H44" s="158" t="s">
        <v>110</v>
      </c>
      <c r="I44" s="159" t="s">
        <v>76</v>
      </c>
      <c r="J44" s="255">
        <v>4</v>
      </c>
      <c r="K44" s="255">
        <v>182708283</v>
      </c>
      <c r="L44" s="162">
        <v>6</v>
      </c>
      <c r="M44" s="256">
        <v>19980000</v>
      </c>
      <c r="N44" s="164">
        <v>4</v>
      </c>
      <c r="O44" s="257">
        <v>104850000</v>
      </c>
      <c r="P44" s="258">
        <v>0</v>
      </c>
      <c r="Q44" s="179">
        <v>0</v>
      </c>
      <c r="R44" s="259">
        <v>0</v>
      </c>
      <c r="S44" s="165">
        <f t="shared" si="16"/>
        <v>0</v>
      </c>
      <c r="T44" s="179">
        <v>0</v>
      </c>
      <c r="U44" s="260">
        <v>0</v>
      </c>
      <c r="V44" s="165">
        <f t="shared" si="17"/>
        <v>0</v>
      </c>
      <c r="W44" s="170">
        <v>0</v>
      </c>
      <c r="X44" s="260">
        <v>0</v>
      </c>
      <c r="Y44" s="218">
        <f t="shared" si="19"/>
        <v>4</v>
      </c>
      <c r="Z44" s="166">
        <v>1</v>
      </c>
      <c r="AA44" s="261">
        <v>103923750</v>
      </c>
      <c r="AB44" s="219">
        <f t="shared" si="6"/>
        <v>4</v>
      </c>
      <c r="AC44" s="184">
        <f>R44+U44+X44+AA44</f>
        <v>103923750</v>
      </c>
      <c r="AD44" s="173">
        <f t="shared" si="0"/>
        <v>10</v>
      </c>
      <c r="AE44" s="173">
        <f t="shared" si="0"/>
        <v>123903750</v>
      </c>
      <c r="AF44" s="232">
        <f t="shared" si="1"/>
        <v>250</v>
      </c>
      <c r="AG44" s="232">
        <f t="shared" si="2"/>
        <v>67.815069993296362</v>
      </c>
      <c r="AH44" s="16"/>
    </row>
    <row r="45" spans="1:34" s="154" customFormat="1" ht="57.75" customHeight="1" x14ac:dyDescent="0.25">
      <c r="A45" s="76">
        <v>35</v>
      </c>
      <c r="B45" s="102"/>
      <c r="C45" s="102"/>
      <c r="D45" s="156"/>
      <c r="E45" s="156"/>
      <c r="F45" s="191"/>
      <c r="G45" s="192" t="s">
        <v>111</v>
      </c>
      <c r="H45" s="192" t="s">
        <v>112</v>
      </c>
      <c r="I45" s="193" t="s">
        <v>28</v>
      </c>
      <c r="J45" s="194">
        <v>100</v>
      </c>
      <c r="K45" s="197">
        <f>SUM(K46:K48)</f>
        <v>608065783</v>
      </c>
      <c r="L45" s="196">
        <v>93</v>
      </c>
      <c r="M45" s="197">
        <f>SUM(M46:M48)</f>
        <v>469062672</v>
      </c>
      <c r="N45" s="195">
        <v>100</v>
      </c>
      <c r="O45" s="195">
        <f>SUM(O46:O48)</f>
        <v>524543052</v>
      </c>
      <c r="P45" s="197">
        <f t="shared" ref="P45:P67" si="20">Q45*N45</f>
        <v>25</v>
      </c>
      <c r="Q45" s="198">
        <f>AVERAGE(Q46:Q48)</f>
        <v>0.25</v>
      </c>
      <c r="R45" s="199">
        <f>SUM(R46:R48)</f>
        <v>79848708</v>
      </c>
      <c r="S45" s="202">
        <f t="shared" si="16"/>
        <v>25</v>
      </c>
      <c r="T45" s="198">
        <f>AVERAGE(T46:T48)</f>
        <v>0.5</v>
      </c>
      <c r="U45" s="201">
        <f>SUM(U46:U48)</f>
        <v>82735367</v>
      </c>
      <c r="V45" s="202">
        <f>W45*N45-P45-S45</f>
        <v>25</v>
      </c>
      <c r="W45" s="223">
        <f>AVERAGE(W46:W48)</f>
        <v>0.75</v>
      </c>
      <c r="X45" s="201">
        <f>SUM(X46:X48)</f>
        <v>100741745</v>
      </c>
      <c r="Y45" s="202">
        <f>Z45*N45-P45-S45-V45</f>
        <v>25</v>
      </c>
      <c r="Z45" s="203">
        <f>AVERAGE(Z48,Z50)</f>
        <v>1</v>
      </c>
      <c r="AA45" s="195">
        <f>SUM(AA46:AA48)</f>
        <v>181763207</v>
      </c>
      <c r="AB45" s="213">
        <f t="shared" si="6"/>
        <v>100</v>
      </c>
      <c r="AC45" s="204">
        <f>SUM(AC46:AC48)</f>
        <v>445089027</v>
      </c>
      <c r="AD45" s="152">
        <f t="shared" si="0"/>
        <v>193</v>
      </c>
      <c r="AE45" s="152">
        <f t="shared" si="0"/>
        <v>914151699</v>
      </c>
      <c r="AF45" s="244">
        <f t="shared" si="1"/>
        <v>193</v>
      </c>
      <c r="AG45" s="244">
        <f t="shared" si="2"/>
        <v>150.33763197295383</v>
      </c>
    </row>
    <row r="46" spans="1:34" ht="45" customHeight="1" x14ac:dyDescent="0.25">
      <c r="A46" s="101">
        <v>36</v>
      </c>
      <c r="B46" s="102"/>
      <c r="C46" s="102"/>
      <c r="D46" s="177"/>
      <c r="E46" s="177"/>
      <c r="F46" s="157"/>
      <c r="G46" s="158" t="s">
        <v>113</v>
      </c>
      <c r="H46" s="158" t="s">
        <v>114</v>
      </c>
      <c r="I46" s="159" t="s">
        <v>56</v>
      </c>
      <c r="J46" s="160">
        <v>1</v>
      </c>
      <c r="K46" s="161">
        <v>2715379</v>
      </c>
      <c r="L46" s="162">
        <v>1</v>
      </c>
      <c r="M46" s="163">
        <v>2200000</v>
      </c>
      <c r="N46" s="164">
        <v>1</v>
      </c>
      <c r="O46" s="164">
        <v>2400000</v>
      </c>
      <c r="P46" s="165">
        <v>0</v>
      </c>
      <c r="Q46" s="166">
        <v>0.25</v>
      </c>
      <c r="R46" s="180">
        <v>0</v>
      </c>
      <c r="S46" s="165">
        <v>0</v>
      </c>
      <c r="T46" s="166">
        <v>0.5</v>
      </c>
      <c r="U46" s="169">
        <v>0</v>
      </c>
      <c r="V46" s="165">
        <v>0</v>
      </c>
      <c r="W46" s="170">
        <v>0.75</v>
      </c>
      <c r="X46" s="169">
        <v>400000</v>
      </c>
      <c r="Y46" s="165">
        <v>0</v>
      </c>
      <c r="Z46" s="166">
        <v>1</v>
      </c>
      <c r="AA46" s="163">
        <v>400000</v>
      </c>
      <c r="AB46" s="171">
        <f t="shared" si="6"/>
        <v>0</v>
      </c>
      <c r="AC46" s="184">
        <f>R46+U46+X46+AA46</f>
        <v>800000</v>
      </c>
      <c r="AD46" s="173">
        <f t="shared" ref="AD46:AE63" si="21">L46+AB46</f>
        <v>1</v>
      </c>
      <c r="AE46" s="173">
        <f t="shared" si="21"/>
        <v>3000000</v>
      </c>
      <c r="AF46" s="173">
        <f t="shared" si="1"/>
        <v>100</v>
      </c>
      <c r="AG46" s="232">
        <f t="shared" si="2"/>
        <v>110.48181487740753</v>
      </c>
      <c r="AH46" s="187">
        <f>AA46-X46</f>
        <v>0</v>
      </c>
    </row>
    <row r="47" spans="1:34" s="264" customFormat="1" ht="71.25" customHeight="1" x14ac:dyDescent="0.25">
      <c r="A47" s="76">
        <v>37</v>
      </c>
      <c r="B47" s="102"/>
      <c r="C47" s="102"/>
      <c r="D47" s="156"/>
      <c r="E47" s="156"/>
      <c r="F47" s="262"/>
      <c r="G47" s="158" t="s">
        <v>115</v>
      </c>
      <c r="H47" s="158" t="s">
        <v>116</v>
      </c>
      <c r="I47" s="159" t="s">
        <v>56</v>
      </c>
      <c r="J47" s="160">
        <v>1</v>
      </c>
      <c r="K47" s="225">
        <v>183240045</v>
      </c>
      <c r="L47" s="162">
        <v>1</v>
      </c>
      <c r="M47" s="163">
        <v>119613472</v>
      </c>
      <c r="N47" s="235">
        <v>1</v>
      </c>
      <c r="O47" s="235">
        <v>161957500</v>
      </c>
      <c r="P47" s="165">
        <v>0</v>
      </c>
      <c r="Q47" s="179">
        <v>0.25</v>
      </c>
      <c r="R47" s="167">
        <v>27516708</v>
      </c>
      <c r="S47" s="165">
        <v>0</v>
      </c>
      <c r="T47" s="179">
        <v>0.5</v>
      </c>
      <c r="U47" s="169">
        <f>56942575-R47</f>
        <v>29425867</v>
      </c>
      <c r="V47" s="165">
        <v>0</v>
      </c>
      <c r="W47" s="170">
        <v>0.75</v>
      </c>
      <c r="X47" s="169">
        <v>23137890</v>
      </c>
      <c r="Y47" s="165">
        <f>Z47/N47-P47-S47-V47</f>
        <v>1</v>
      </c>
      <c r="Z47" s="166">
        <v>1</v>
      </c>
      <c r="AA47" s="163">
        <v>42317765</v>
      </c>
      <c r="AB47" s="171">
        <f t="shared" si="6"/>
        <v>1</v>
      </c>
      <c r="AC47" s="172">
        <f>R47+U47+X47+AA47</f>
        <v>122398230</v>
      </c>
      <c r="AD47" s="173">
        <f t="shared" si="21"/>
        <v>2</v>
      </c>
      <c r="AE47" s="173">
        <f t="shared" si="21"/>
        <v>242011702</v>
      </c>
      <c r="AF47" s="173">
        <f t="shared" si="1"/>
        <v>200</v>
      </c>
      <c r="AG47" s="232">
        <f>IFERROR((AE47/K47*100),0)</f>
        <v>132.07358795398682</v>
      </c>
      <c r="AH47" s="263">
        <f>AA47-R47-U47-X47</f>
        <v>-37762700</v>
      </c>
    </row>
    <row r="48" spans="1:34" ht="72" customHeight="1" x14ac:dyDescent="0.25">
      <c r="A48" s="101">
        <v>38</v>
      </c>
      <c r="B48" s="102"/>
      <c r="C48" s="102"/>
      <c r="D48" s="177"/>
      <c r="E48" s="177"/>
      <c r="F48" s="157"/>
      <c r="G48" s="253" t="s">
        <v>117</v>
      </c>
      <c r="H48" s="158" t="s">
        <v>118</v>
      </c>
      <c r="I48" s="159" t="s">
        <v>56</v>
      </c>
      <c r="J48" s="255">
        <v>1</v>
      </c>
      <c r="K48" s="255">
        <v>422110359</v>
      </c>
      <c r="L48" s="162">
        <v>0.79</v>
      </c>
      <c r="M48" s="256">
        <v>347249200</v>
      </c>
      <c r="N48" s="235">
        <v>1</v>
      </c>
      <c r="O48" s="265">
        <v>360185552</v>
      </c>
      <c r="P48" s="266">
        <v>0</v>
      </c>
      <c r="Q48" s="267">
        <v>0.25</v>
      </c>
      <c r="R48" s="268">
        <v>52332000</v>
      </c>
      <c r="S48" s="165">
        <v>0</v>
      </c>
      <c r="T48" s="267">
        <v>0.5</v>
      </c>
      <c r="U48" s="260">
        <f>105641500-R48</f>
        <v>53309500</v>
      </c>
      <c r="V48" s="165">
        <v>0</v>
      </c>
      <c r="W48" s="170">
        <v>0.75</v>
      </c>
      <c r="X48" s="269">
        <v>77203855</v>
      </c>
      <c r="Y48" s="165">
        <v>0</v>
      </c>
      <c r="Z48" s="166">
        <v>1</v>
      </c>
      <c r="AA48" s="270">
        <v>139045442</v>
      </c>
      <c r="AB48" s="171">
        <f t="shared" si="6"/>
        <v>0</v>
      </c>
      <c r="AC48" s="172">
        <f>R48+U48+X48+AA48</f>
        <v>321890797</v>
      </c>
      <c r="AD48" s="173">
        <f t="shared" si="21"/>
        <v>0.79</v>
      </c>
      <c r="AE48" s="173">
        <f t="shared" si="21"/>
        <v>669139997</v>
      </c>
      <c r="AF48" s="232">
        <f t="shared" si="1"/>
        <v>79</v>
      </c>
      <c r="AG48" s="232">
        <f t="shared" ref="AG48:AG105" si="22">AE48/K48*100</f>
        <v>158.52252443773833</v>
      </c>
      <c r="AH48" s="176">
        <f>AA48-R48-U48-X48</f>
        <v>-43799913</v>
      </c>
    </row>
    <row r="49" spans="1:34" s="285" customFormat="1" ht="51" customHeight="1" x14ac:dyDescent="0.25">
      <c r="A49" s="76">
        <v>39</v>
      </c>
      <c r="B49" s="102"/>
      <c r="C49" s="102"/>
      <c r="D49" s="156"/>
      <c r="E49" s="156"/>
      <c r="F49" s="271"/>
      <c r="G49" s="272" t="s">
        <v>119</v>
      </c>
      <c r="H49" s="272" t="s">
        <v>120</v>
      </c>
      <c r="I49" s="273" t="s">
        <v>121</v>
      </c>
      <c r="J49" s="274">
        <v>100</v>
      </c>
      <c r="K49" s="275">
        <f>SUM(K50:K54)</f>
        <v>655006607</v>
      </c>
      <c r="L49" s="276">
        <v>9</v>
      </c>
      <c r="M49" s="275">
        <f>SUM(M50:M54)</f>
        <v>499033175</v>
      </c>
      <c r="N49" s="275">
        <v>100</v>
      </c>
      <c r="O49" s="275">
        <f>SUM(O50:O54)</f>
        <v>555070400</v>
      </c>
      <c r="P49" s="275">
        <f t="shared" si="20"/>
        <v>15</v>
      </c>
      <c r="Q49" s="277">
        <f>AVERAGE(Q50:Q54)</f>
        <v>0.15</v>
      </c>
      <c r="R49" s="278">
        <f>SUM(R50:R54)</f>
        <v>51432451</v>
      </c>
      <c r="S49" s="279">
        <f t="shared" si="16"/>
        <v>20</v>
      </c>
      <c r="T49" s="277">
        <f>AVERAGE(T50:T54)</f>
        <v>0.35</v>
      </c>
      <c r="U49" s="280">
        <f>SUM(U50:U54)</f>
        <v>39553233</v>
      </c>
      <c r="V49" s="279">
        <f t="shared" ref="V49:V95" si="23">W49*N49-P49-S49</f>
        <v>30</v>
      </c>
      <c r="W49" s="281">
        <f>AVERAGE(W50:W54)</f>
        <v>0.65</v>
      </c>
      <c r="X49" s="280">
        <f>SUM(X50:X54)</f>
        <v>212686593</v>
      </c>
      <c r="Y49" s="202">
        <f>Z49*N49-P49-S49-V49</f>
        <v>35</v>
      </c>
      <c r="Z49" s="203">
        <f>AVERAGE(Z52,Z54)</f>
        <v>1</v>
      </c>
      <c r="AA49" s="195">
        <f>SUM(AA50:AA54)</f>
        <v>145692534</v>
      </c>
      <c r="AB49" s="282">
        <f t="shared" si="6"/>
        <v>100</v>
      </c>
      <c r="AC49" s="278">
        <f>SUM(AC50:AC54)</f>
        <v>449364811</v>
      </c>
      <c r="AD49" s="283">
        <f t="shared" si="21"/>
        <v>109</v>
      </c>
      <c r="AE49" s="283">
        <f t="shared" si="21"/>
        <v>948397986</v>
      </c>
      <c r="AF49" s="284">
        <f t="shared" si="1"/>
        <v>109.00000000000001</v>
      </c>
      <c r="AG49" s="284">
        <f t="shared" si="22"/>
        <v>144.79212512737297</v>
      </c>
    </row>
    <row r="50" spans="1:34" ht="84" customHeight="1" x14ac:dyDescent="0.25">
      <c r="A50" s="101">
        <v>40</v>
      </c>
      <c r="B50" s="102"/>
      <c r="C50" s="102"/>
      <c r="D50" s="177"/>
      <c r="E50" s="177"/>
      <c r="F50" s="157"/>
      <c r="G50" s="158" t="s">
        <v>122</v>
      </c>
      <c r="H50" s="158" t="s">
        <v>123</v>
      </c>
      <c r="I50" s="159" t="s">
        <v>76</v>
      </c>
      <c r="J50" s="160">
        <v>11</v>
      </c>
      <c r="K50" s="161">
        <v>393673940</v>
      </c>
      <c r="L50" s="162">
        <v>9.68</v>
      </c>
      <c r="M50" s="163">
        <v>307709525</v>
      </c>
      <c r="N50" s="164">
        <v>11</v>
      </c>
      <c r="O50" s="164">
        <v>324090400</v>
      </c>
      <c r="P50" s="165">
        <v>2</v>
      </c>
      <c r="Q50" s="179">
        <v>0.25</v>
      </c>
      <c r="R50" s="167">
        <v>38552451</v>
      </c>
      <c r="S50" s="165">
        <v>3</v>
      </c>
      <c r="T50" s="179">
        <v>0.5</v>
      </c>
      <c r="U50" s="169">
        <f>68605684-R50</f>
        <v>30053233</v>
      </c>
      <c r="V50" s="165">
        <f>W50*N50-P50-S50</f>
        <v>3.25</v>
      </c>
      <c r="W50" s="170">
        <v>0.75</v>
      </c>
      <c r="X50" s="169">
        <v>59656593</v>
      </c>
      <c r="Y50" s="165">
        <f>Z50*N50-P50-S50-V50</f>
        <v>2.75</v>
      </c>
      <c r="Z50" s="166">
        <v>1</v>
      </c>
      <c r="AA50" s="163">
        <v>105771784</v>
      </c>
      <c r="AB50" s="171">
        <f t="shared" si="6"/>
        <v>11</v>
      </c>
      <c r="AC50" s="172">
        <f>R50+U50+X50+AA50</f>
        <v>234034061</v>
      </c>
      <c r="AD50" s="173">
        <f t="shared" si="21"/>
        <v>20.68</v>
      </c>
      <c r="AE50" s="173">
        <f t="shared" si="21"/>
        <v>541743586</v>
      </c>
      <c r="AF50" s="232">
        <f t="shared" si="1"/>
        <v>188</v>
      </c>
      <c r="AG50" s="232">
        <f t="shared" si="22"/>
        <v>137.61225495393472</v>
      </c>
      <c r="AH50" s="176">
        <f>AA50-R50-U50-X50</f>
        <v>-22490493</v>
      </c>
    </row>
    <row r="51" spans="1:34" ht="48.75" customHeight="1" x14ac:dyDescent="0.25">
      <c r="A51" s="76">
        <v>41</v>
      </c>
      <c r="B51" s="102"/>
      <c r="C51" s="102"/>
      <c r="D51" s="156"/>
      <c r="E51" s="156"/>
      <c r="F51" s="157"/>
      <c r="G51" s="158" t="s">
        <v>124</v>
      </c>
      <c r="H51" s="158" t="s">
        <v>125</v>
      </c>
      <c r="I51" s="159" t="s">
        <v>76</v>
      </c>
      <c r="J51" s="286">
        <v>40</v>
      </c>
      <c r="K51" s="227">
        <v>3167942</v>
      </c>
      <c r="L51" s="162">
        <v>35</v>
      </c>
      <c r="M51" s="163">
        <v>2800000</v>
      </c>
      <c r="N51" s="164">
        <v>35</v>
      </c>
      <c r="O51" s="164">
        <v>2800000</v>
      </c>
      <c r="P51" s="218">
        <f t="shared" si="20"/>
        <v>0</v>
      </c>
      <c r="Q51" s="179">
        <v>0</v>
      </c>
      <c r="R51" s="180">
        <v>0</v>
      </c>
      <c r="S51" s="165">
        <f t="shared" si="16"/>
        <v>0</v>
      </c>
      <c r="T51" s="179">
        <v>0</v>
      </c>
      <c r="U51" s="169">
        <v>0</v>
      </c>
      <c r="V51" s="165">
        <v>0</v>
      </c>
      <c r="W51" s="170">
        <v>0</v>
      </c>
      <c r="X51" s="169">
        <v>0</v>
      </c>
      <c r="Y51" s="165">
        <f t="shared" ref="Y51:Y54" si="24">Z51*N51-P51-S51-V51</f>
        <v>35</v>
      </c>
      <c r="Z51" s="166">
        <v>1</v>
      </c>
      <c r="AA51" s="163">
        <v>2790000</v>
      </c>
      <c r="AB51" s="171">
        <v>0</v>
      </c>
      <c r="AC51" s="184">
        <f>R51+U51+X51+AA51</f>
        <v>2790000</v>
      </c>
      <c r="AD51" s="173">
        <f t="shared" si="21"/>
        <v>35</v>
      </c>
      <c r="AE51" s="173">
        <f t="shared" si="21"/>
        <v>5590000</v>
      </c>
      <c r="AF51" s="173">
        <f t="shared" si="1"/>
        <v>87.5</v>
      </c>
      <c r="AG51" s="232">
        <f t="shared" si="22"/>
        <v>176.45525075901011</v>
      </c>
      <c r="AH51" s="16"/>
    </row>
    <row r="52" spans="1:34" ht="60" customHeight="1" x14ac:dyDescent="0.25">
      <c r="A52" s="101">
        <v>42</v>
      </c>
      <c r="B52" s="102"/>
      <c r="C52" s="102"/>
      <c r="D52" s="177"/>
      <c r="E52" s="177"/>
      <c r="F52" s="157"/>
      <c r="G52" s="158" t="s">
        <v>126</v>
      </c>
      <c r="H52" s="158" t="s">
        <v>127</v>
      </c>
      <c r="I52" s="159" t="s">
        <v>76</v>
      </c>
      <c r="J52" s="160">
        <v>81</v>
      </c>
      <c r="K52" s="161">
        <v>58312779</v>
      </c>
      <c r="L52" s="162">
        <v>81</v>
      </c>
      <c r="M52" s="163">
        <v>40100650</v>
      </c>
      <c r="N52" s="164">
        <v>79</v>
      </c>
      <c r="O52" s="164">
        <v>51540000</v>
      </c>
      <c r="P52" s="165">
        <f t="shared" si="20"/>
        <v>19.75</v>
      </c>
      <c r="Q52" s="179">
        <v>0.25</v>
      </c>
      <c r="R52" s="167">
        <v>7910000</v>
      </c>
      <c r="S52" s="165">
        <f t="shared" si="16"/>
        <v>19.75</v>
      </c>
      <c r="T52" s="179">
        <v>0.5</v>
      </c>
      <c r="U52" s="169">
        <f>11910000-R52</f>
        <v>4000000</v>
      </c>
      <c r="V52" s="165">
        <f t="shared" si="23"/>
        <v>19.75</v>
      </c>
      <c r="W52" s="170">
        <v>0.75</v>
      </c>
      <c r="X52" s="169">
        <v>6660000</v>
      </c>
      <c r="Y52" s="165">
        <f t="shared" si="24"/>
        <v>19.75</v>
      </c>
      <c r="Z52" s="166">
        <v>1</v>
      </c>
      <c r="AA52" s="163">
        <v>22060000</v>
      </c>
      <c r="AB52" s="171">
        <f t="shared" si="6"/>
        <v>79</v>
      </c>
      <c r="AC52" s="172">
        <f>R52+U52+X52+AA52</f>
        <v>40630000</v>
      </c>
      <c r="AD52" s="173">
        <f t="shared" si="21"/>
        <v>160</v>
      </c>
      <c r="AE52" s="173">
        <f t="shared" si="21"/>
        <v>80730650</v>
      </c>
      <c r="AF52" s="173">
        <f t="shared" si="1"/>
        <v>197.53086419753086</v>
      </c>
      <c r="AG52" s="232">
        <f t="shared" si="22"/>
        <v>138.44418219203718</v>
      </c>
      <c r="AH52" s="176">
        <f>AA52-R52-U52-X52</f>
        <v>3490000</v>
      </c>
    </row>
    <row r="53" spans="1:34" ht="75.75" customHeight="1" x14ac:dyDescent="0.25">
      <c r="A53" s="76">
        <v>43</v>
      </c>
      <c r="B53" s="102"/>
      <c r="C53" s="102"/>
      <c r="D53" s="156"/>
      <c r="E53" s="156"/>
      <c r="F53" s="157"/>
      <c r="G53" s="287" t="s">
        <v>128</v>
      </c>
      <c r="H53" s="158" t="s">
        <v>129</v>
      </c>
      <c r="I53" s="159" t="s">
        <v>76</v>
      </c>
      <c r="J53" s="288">
        <v>2</v>
      </c>
      <c r="K53" s="255">
        <v>164495440</v>
      </c>
      <c r="L53" s="162">
        <v>1.34</v>
      </c>
      <c r="M53" s="163">
        <v>126693000</v>
      </c>
      <c r="N53" s="164">
        <v>2</v>
      </c>
      <c r="O53" s="289">
        <v>145390000</v>
      </c>
      <c r="P53" s="218">
        <f t="shared" si="20"/>
        <v>0</v>
      </c>
      <c r="Q53" s="290">
        <v>0</v>
      </c>
      <c r="R53" s="291">
        <v>0</v>
      </c>
      <c r="S53" s="165">
        <v>0</v>
      </c>
      <c r="T53" s="267">
        <v>0.25</v>
      </c>
      <c r="U53" s="292">
        <v>0</v>
      </c>
      <c r="V53" s="165">
        <f t="shared" si="23"/>
        <v>2</v>
      </c>
      <c r="W53" s="170">
        <v>1</v>
      </c>
      <c r="X53" s="292">
        <v>140970000</v>
      </c>
      <c r="Y53" s="165">
        <v>0</v>
      </c>
      <c r="Z53" s="166">
        <v>1</v>
      </c>
      <c r="AA53" s="293">
        <v>0</v>
      </c>
      <c r="AB53" s="171">
        <f t="shared" si="6"/>
        <v>2</v>
      </c>
      <c r="AC53" s="184">
        <f>R53+U53+X53+AA53</f>
        <v>140970000</v>
      </c>
      <c r="AD53" s="173">
        <f t="shared" si="21"/>
        <v>3.34</v>
      </c>
      <c r="AE53" s="173">
        <f t="shared" si="21"/>
        <v>267663000</v>
      </c>
      <c r="AF53" s="232">
        <f t="shared" si="1"/>
        <v>167</v>
      </c>
      <c r="AG53" s="232">
        <f t="shared" si="22"/>
        <v>162.71758049949591</v>
      </c>
      <c r="AH53" s="187"/>
    </row>
    <row r="54" spans="1:34" s="234" customFormat="1" ht="81" customHeight="1" x14ac:dyDescent="0.25">
      <c r="A54" s="101">
        <v>44</v>
      </c>
      <c r="B54" s="102"/>
      <c r="C54" s="102"/>
      <c r="D54" s="177"/>
      <c r="E54" s="177"/>
      <c r="F54" s="294"/>
      <c r="G54" s="158" t="s">
        <v>130</v>
      </c>
      <c r="H54" s="158" t="s">
        <v>131</v>
      </c>
      <c r="I54" s="159" t="s">
        <v>76</v>
      </c>
      <c r="J54" s="160">
        <v>40</v>
      </c>
      <c r="K54" s="161">
        <v>35356506</v>
      </c>
      <c r="L54" s="162">
        <v>4</v>
      </c>
      <c r="M54" s="161">
        <v>21730000</v>
      </c>
      <c r="N54" s="184">
        <v>40</v>
      </c>
      <c r="O54" s="173">
        <v>31250000</v>
      </c>
      <c r="P54" s="218">
        <f t="shared" si="20"/>
        <v>10</v>
      </c>
      <c r="Q54" s="267">
        <v>0.25</v>
      </c>
      <c r="R54" s="186">
        <v>4970000</v>
      </c>
      <c r="S54" s="165">
        <f t="shared" si="16"/>
        <v>10</v>
      </c>
      <c r="T54" s="267">
        <v>0.5</v>
      </c>
      <c r="U54" s="228">
        <f>10470000-R54</f>
        <v>5500000</v>
      </c>
      <c r="V54" s="165">
        <f t="shared" si="23"/>
        <v>10</v>
      </c>
      <c r="W54" s="295">
        <v>0.75</v>
      </c>
      <c r="X54" s="230">
        <v>5400000</v>
      </c>
      <c r="Y54" s="165">
        <f t="shared" si="24"/>
        <v>10</v>
      </c>
      <c r="Z54" s="296">
        <v>1</v>
      </c>
      <c r="AA54" s="161">
        <v>15070750</v>
      </c>
      <c r="AB54" s="219">
        <f t="shared" si="6"/>
        <v>40</v>
      </c>
      <c r="AC54" s="297">
        <f>R54+U54+X54+AA54</f>
        <v>30940750</v>
      </c>
      <c r="AD54" s="173">
        <f t="shared" si="21"/>
        <v>44</v>
      </c>
      <c r="AE54" s="173">
        <f t="shared" si="21"/>
        <v>52670750</v>
      </c>
      <c r="AF54" s="173">
        <f t="shared" si="1"/>
        <v>110.00000000000001</v>
      </c>
      <c r="AG54" s="232">
        <f t="shared" si="22"/>
        <v>148.97046105177927</v>
      </c>
      <c r="AH54" s="233">
        <f>AA54-R54-U54-X54</f>
        <v>-799250</v>
      </c>
    </row>
    <row r="55" spans="1:34" s="307" customFormat="1" ht="96" customHeight="1" x14ac:dyDescent="0.25">
      <c r="A55" s="76">
        <v>45</v>
      </c>
      <c r="B55" s="102"/>
      <c r="C55" s="102"/>
      <c r="D55" s="78"/>
      <c r="E55" s="124" t="s">
        <v>36</v>
      </c>
      <c r="F55" s="125" t="s">
        <v>132</v>
      </c>
      <c r="G55" s="126" t="s">
        <v>133</v>
      </c>
      <c r="H55" s="126" t="s">
        <v>134</v>
      </c>
      <c r="I55" s="127" t="s">
        <v>28</v>
      </c>
      <c r="J55" s="298">
        <v>100</v>
      </c>
      <c r="K55" s="299">
        <f>SUM(K56+K64+K67)</f>
        <v>3241764232</v>
      </c>
      <c r="L55" s="300">
        <v>74</v>
      </c>
      <c r="M55" s="299">
        <f>SUM(M56+M64+M67)</f>
        <v>1247062635</v>
      </c>
      <c r="N55" s="129">
        <v>100</v>
      </c>
      <c r="O55" s="129">
        <f>SUM(O56+O64+O67)</f>
        <v>1625740149</v>
      </c>
      <c r="P55" s="301">
        <f t="shared" si="20"/>
        <v>14.523809523809526</v>
      </c>
      <c r="Q55" s="302">
        <f>AVERAGE(Q56,Q64,Q67)</f>
        <v>0.14523809523809525</v>
      </c>
      <c r="R55" s="303">
        <f>SUM(R56+R64+R67)</f>
        <v>22016047</v>
      </c>
      <c r="S55" s="301">
        <f t="shared" si="16"/>
        <v>34.166666666666671</v>
      </c>
      <c r="T55" s="302">
        <f>AVERAGE(T56:T64:T67)</f>
        <v>0.48690476190476195</v>
      </c>
      <c r="U55" s="304">
        <f>SUM(U56+U64+U67)</f>
        <v>149142470</v>
      </c>
      <c r="V55" s="301">
        <f t="shared" si="23"/>
        <v>26.130952380952387</v>
      </c>
      <c r="W55" s="305">
        <f>AVERAGE(W56:W64:W67)</f>
        <v>0.74821428571428583</v>
      </c>
      <c r="X55" s="304">
        <f>SUM(X56+X64+X67)</f>
        <v>339120746</v>
      </c>
      <c r="Y55" s="301">
        <f>Z55*N55-P55-S55-V55</f>
        <v>25.178571428571423</v>
      </c>
      <c r="Z55" s="305">
        <f>AVERAGE(Z56:Z64:Z67)</f>
        <v>1</v>
      </c>
      <c r="AA55" s="304">
        <f>SUM(AA56+AA64+AA67)</f>
        <v>663022186</v>
      </c>
      <c r="AB55" s="131">
        <f t="shared" si="6"/>
        <v>100</v>
      </c>
      <c r="AC55" s="306">
        <f>SUM(AC56+AC64+AC67)</f>
        <v>1173301449</v>
      </c>
      <c r="AD55" s="130">
        <f t="shared" si="21"/>
        <v>174</v>
      </c>
      <c r="AE55" s="130">
        <f t="shared" si="21"/>
        <v>2420364084</v>
      </c>
      <c r="AF55" s="135">
        <f t="shared" si="1"/>
        <v>174</v>
      </c>
      <c r="AG55" s="135">
        <f t="shared" si="22"/>
        <v>74.661940560272058</v>
      </c>
    </row>
    <row r="56" spans="1:34" s="154" customFormat="1" ht="51" x14ac:dyDescent="0.25">
      <c r="A56" s="101">
        <v>46</v>
      </c>
      <c r="B56" s="102"/>
      <c r="C56" s="102"/>
      <c r="D56" s="177"/>
      <c r="E56" s="177"/>
      <c r="F56" s="191"/>
      <c r="G56" s="192" t="s">
        <v>135</v>
      </c>
      <c r="H56" s="192" t="s">
        <v>136</v>
      </c>
      <c r="I56" s="193" t="s">
        <v>28</v>
      </c>
      <c r="J56" s="194">
        <v>100</v>
      </c>
      <c r="K56" s="308">
        <f>SUM(K57:K63)</f>
        <v>2596394015</v>
      </c>
      <c r="L56" s="196">
        <v>77</v>
      </c>
      <c r="M56" s="197">
        <f>SUM(M57:M63)</f>
        <v>1048691836</v>
      </c>
      <c r="N56" s="195">
        <v>100</v>
      </c>
      <c r="O56" s="195">
        <f>SUM(O57:O63)</f>
        <v>1326524689</v>
      </c>
      <c r="P56" s="202">
        <f t="shared" si="20"/>
        <v>38.571428571428577</v>
      </c>
      <c r="Q56" s="200">
        <f>AVERAGE(Q57:Q63)</f>
        <v>0.38571428571428573</v>
      </c>
      <c r="R56" s="212">
        <f>SUM(R57:R63)</f>
        <v>0</v>
      </c>
      <c r="S56" s="202">
        <f t="shared" si="16"/>
        <v>25.714285714285715</v>
      </c>
      <c r="T56" s="200">
        <f>AVERAGE(T57:T63)</f>
        <v>0.6428571428571429</v>
      </c>
      <c r="U56" s="201">
        <f>SUM(U57:U63)</f>
        <v>122202370</v>
      </c>
      <c r="V56" s="202">
        <f t="shared" si="23"/>
        <v>18.571428571428555</v>
      </c>
      <c r="W56" s="203">
        <f>AVERAGE(W57:W63)</f>
        <v>0.82857142857142851</v>
      </c>
      <c r="X56" s="201">
        <f>SUM(X57:X63)</f>
        <v>304244464</v>
      </c>
      <c r="Y56" s="202">
        <f>Z56*N56-P56-S56-V56</f>
        <v>17.142857142857153</v>
      </c>
      <c r="Z56" s="203">
        <f>AVERAGE(Z59,Z61)</f>
        <v>1</v>
      </c>
      <c r="AA56" s="195">
        <f>SUM(AA57:AA63)</f>
        <v>561327275</v>
      </c>
      <c r="AB56" s="150">
        <f>P56+S56+V56+Y56</f>
        <v>100</v>
      </c>
      <c r="AC56" s="204">
        <f>SUM(AC57:AC63)</f>
        <v>987774109</v>
      </c>
      <c r="AD56" s="152">
        <f t="shared" si="21"/>
        <v>177</v>
      </c>
      <c r="AE56" s="152">
        <f t="shared" si="21"/>
        <v>2036465945</v>
      </c>
      <c r="AF56" s="244">
        <f t="shared" si="1"/>
        <v>177</v>
      </c>
      <c r="AG56" s="244">
        <f t="shared" si="22"/>
        <v>78.434395289576258</v>
      </c>
    </row>
    <row r="57" spans="1:34" ht="96.75" customHeight="1" x14ac:dyDescent="0.25">
      <c r="A57" s="76">
        <v>47</v>
      </c>
      <c r="B57" s="102"/>
      <c r="C57" s="102"/>
      <c r="D57" s="156"/>
      <c r="E57" s="156"/>
      <c r="F57" s="157"/>
      <c r="G57" s="158" t="s">
        <v>137</v>
      </c>
      <c r="H57" s="158" t="s">
        <v>138</v>
      </c>
      <c r="I57" s="159" t="s">
        <v>45</v>
      </c>
      <c r="J57" s="160">
        <v>2</v>
      </c>
      <c r="K57" s="161">
        <v>207867944</v>
      </c>
      <c r="L57" s="162">
        <v>2</v>
      </c>
      <c r="M57" s="184">
        <v>208601400</v>
      </c>
      <c r="N57" s="235">
        <v>2</v>
      </c>
      <c r="O57" s="235">
        <v>134616525</v>
      </c>
      <c r="P57" s="218">
        <f t="shared" si="20"/>
        <v>0</v>
      </c>
      <c r="Q57" s="179">
        <v>0</v>
      </c>
      <c r="R57" s="180">
        <v>0</v>
      </c>
      <c r="S57" s="165">
        <f t="shared" si="16"/>
        <v>0.8</v>
      </c>
      <c r="T57" s="179">
        <v>0.4</v>
      </c>
      <c r="U57" s="169">
        <v>0</v>
      </c>
      <c r="V57" s="165">
        <f t="shared" si="23"/>
        <v>0.39999999999999991</v>
      </c>
      <c r="W57" s="170">
        <v>0.6</v>
      </c>
      <c r="X57" s="169">
        <v>0</v>
      </c>
      <c r="Y57" s="165">
        <f t="shared" ref="Y57:Y63" si="25">Z57*N57-P57-S57-V57</f>
        <v>0.8</v>
      </c>
      <c r="Z57" s="166">
        <v>1</v>
      </c>
      <c r="AA57" s="163">
        <v>122030925</v>
      </c>
      <c r="AB57" s="171">
        <f t="shared" si="6"/>
        <v>2</v>
      </c>
      <c r="AC57" s="184">
        <f t="shared" ref="AC57:AC63" si="26">R57+U57+X57+AA57</f>
        <v>122030925</v>
      </c>
      <c r="AD57" s="173">
        <f t="shared" si="21"/>
        <v>4</v>
      </c>
      <c r="AE57" s="173">
        <f t="shared" si="21"/>
        <v>330632325</v>
      </c>
      <c r="AF57" s="173">
        <f t="shared" si="1"/>
        <v>200</v>
      </c>
      <c r="AG57" s="232">
        <f t="shared" si="22"/>
        <v>159.05883256342787</v>
      </c>
      <c r="AH57" s="16"/>
    </row>
    <row r="58" spans="1:34" ht="56.25" customHeight="1" x14ac:dyDescent="0.25">
      <c r="A58" s="101">
        <v>48</v>
      </c>
      <c r="B58" s="102"/>
      <c r="C58" s="102"/>
      <c r="D58" s="177"/>
      <c r="E58" s="177"/>
      <c r="F58" s="157"/>
      <c r="G58" s="158" t="s">
        <v>139</v>
      </c>
      <c r="H58" s="158" t="s">
        <v>140</v>
      </c>
      <c r="I58" s="159" t="s">
        <v>45</v>
      </c>
      <c r="J58" s="160">
        <v>1</v>
      </c>
      <c r="K58" s="161">
        <v>288380794</v>
      </c>
      <c r="L58" s="162">
        <v>0.83000000000000007</v>
      </c>
      <c r="M58" s="184">
        <v>36966850</v>
      </c>
      <c r="N58" s="235">
        <v>1</v>
      </c>
      <c r="O58" s="235">
        <v>110251740</v>
      </c>
      <c r="P58" s="165">
        <v>0</v>
      </c>
      <c r="Q58" s="179">
        <v>0.2</v>
      </c>
      <c r="R58" s="180">
        <v>0</v>
      </c>
      <c r="S58" s="165">
        <v>0</v>
      </c>
      <c r="T58" s="179">
        <v>0.6</v>
      </c>
      <c r="U58" s="169">
        <v>0</v>
      </c>
      <c r="V58" s="165">
        <v>0</v>
      </c>
      <c r="W58" s="170">
        <v>0.75</v>
      </c>
      <c r="X58" s="169">
        <v>3600000</v>
      </c>
      <c r="Y58" s="165">
        <f t="shared" si="25"/>
        <v>1</v>
      </c>
      <c r="Z58" s="166">
        <v>1</v>
      </c>
      <c r="AA58" s="163">
        <v>93066010</v>
      </c>
      <c r="AB58" s="171">
        <f t="shared" si="6"/>
        <v>1</v>
      </c>
      <c r="AC58" s="184">
        <f t="shared" si="26"/>
        <v>96666010</v>
      </c>
      <c r="AD58" s="173">
        <f t="shared" si="21"/>
        <v>1.83</v>
      </c>
      <c r="AE58" s="173">
        <f t="shared" si="21"/>
        <v>133632860</v>
      </c>
      <c r="AF58" s="232">
        <f t="shared" si="1"/>
        <v>183</v>
      </c>
      <c r="AG58" s="232">
        <f t="shared" si="22"/>
        <v>46.33902908249847</v>
      </c>
      <c r="AH58" s="187">
        <f>AA58-X58</f>
        <v>89466010</v>
      </c>
    </row>
    <row r="59" spans="1:34" ht="56.25" customHeight="1" x14ac:dyDescent="0.25">
      <c r="A59" s="76">
        <v>49</v>
      </c>
      <c r="B59" s="102"/>
      <c r="C59" s="102"/>
      <c r="D59" s="156"/>
      <c r="E59" s="156"/>
      <c r="F59" s="157"/>
      <c r="G59" s="158" t="s">
        <v>141</v>
      </c>
      <c r="H59" s="158" t="s">
        <v>142</v>
      </c>
      <c r="I59" s="159" t="s">
        <v>143</v>
      </c>
      <c r="J59" s="160">
        <v>1</v>
      </c>
      <c r="K59" s="161">
        <v>104711462</v>
      </c>
      <c r="L59" s="162">
        <v>0.57999999999999996</v>
      </c>
      <c r="M59" s="163">
        <v>20106778</v>
      </c>
      <c r="N59" s="235">
        <v>2</v>
      </c>
      <c r="O59" s="235">
        <v>53710220</v>
      </c>
      <c r="P59" s="165">
        <f t="shared" si="20"/>
        <v>1</v>
      </c>
      <c r="Q59" s="179">
        <v>0.5</v>
      </c>
      <c r="R59" s="180">
        <v>0</v>
      </c>
      <c r="S59" s="165">
        <f t="shared" si="16"/>
        <v>0.39999999999999991</v>
      </c>
      <c r="T59" s="179">
        <v>0.7</v>
      </c>
      <c r="U59" s="169">
        <v>26365110</v>
      </c>
      <c r="V59" s="165">
        <f t="shared" si="23"/>
        <v>0.60000000000000009</v>
      </c>
      <c r="W59" s="170">
        <v>1</v>
      </c>
      <c r="X59" s="169">
        <v>9350000</v>
      </c>
      <c r="Y59" s="165">
        <f t="shared" si="25"/>
        <v>0</v>
      </c>
      <c r="Z59" s="166">
        <v>1</v>
      </c>
      <c r="AA59" s="163">
        <v>12815110</v>
      </c>
      <c r="AB59" s="171">
        <f t="shared" si="6"/>
        <v>2</v>
      </c>
      <c r="AC59" s="172">
        <f t="shared" si="26"/>
        <v>48530220</v>
      </c>
      <c r="AD59" s="173">
        <f t="shared" si="21"/>
        <v>2.58</v>
      </c>
      <c r="AE59" s="173">
        <f t="shared" si="21"/>
        <v>68636998</v>
      </c>
      <c r="AF59" s="232">
        <f t="shared" si="1"/>
        <v>258</v>
      </c>
      <c r="AG59" s="232">
        <f t="shared" si="22"/>
        <v>65.548696092124089</v>
      </c>
      <c r="AH59" s="187">
        <f>AA59-U59-X59</f>
        <v>-22900000</v>
      </c>
    </row>
    <row r="60" spans="1:34" ht="56.25" customHeight="1" x14ac:dyDescent="0.25">
      <c r="A60" s="101">
        <v>50</v>
      </c>
      <c r="B60" s="102"/>
      <c r="C60" s="102"/>
      <c r="D60" s="177"/>
      <c r="E60" s="177"/>
      <c r="F60" s="157"/>
      <c r="G60" s="158" t="s">
        <v>144</v>
      </c>
      <c r="H60" s="158" t="s">
        <v>145</v>
      </c>
      <c r="I60" s="159" t="s">
        <v>143</v>
      </c>
      <c r="J60" s="160">
        <v>1</v>
      </c>
      <c r="K60" s="161">
        <v>291512778</v>
      </c>
      <c r="L60" s="162">
        <v>0.54</v>
      </c>
      <c r="M60" s="163">
        <v>29495364</v>
      </c>
      <c r="N60" s="164">
        <v>2</v>
      </c>
      <c r="O60" s="164">
        <v>99697040</v>
      </c>
      <c r="P60" s="218">
        <f t="shared" si="20"/>
        <v>1</v>
      </c>
      <c r="Q60" s="179">
        <v>0.5</v>
      </c>
      <c r="R60" s="180">
        <v>0</v>
      </c>
      <c r="S60" s="165">
        <f t="shared" si="16"/>
        <v>0.39999999999999991</v>
      </c>
      <c r="T60" s="179">
        <v>0.7</v>
      </c>
      <c r="U60" s="169">
        <v>48242040</v>
      </c>
      <c r="V60" s="165">
        <f t="shared" si="23"/>
        <v>0.60000000000000009</v>
      </c>
      <c r="W60" s="170">
        <v>1</v>
      </c>
      <c r="X60" s="169">
        <v>17400000</v>
      </c>
      <c r="Y60" s="165">
        <f t="shared" si="25"/>
        <v>0</v>
      </c>
      <c r="Z60" s="166">
        <v>1</v>
      </c>
      <c r="AA60" s="163">
        <v>18315000</v>
      </c>
      <c r="AB60" s="171">
        <f t="shared" si="6"/>
        <v>2</v>
      </c>
      <c r="AC60" s="172">
        <f t="shared" si="26"/>
        <v>83957040</v>
      </c>
      <c r="AD60" s="173">
        <f t="shared" si="21"/>
        <v>2.54</v>
      </c>
      <c r="AE60" s="173">
        <f t="shared" si="21"/>
        <v>113452404</v>
      </c>
      <c r="AF60" s="232">
        <f t="shared" si="1"/>
        <v>254</v>
      </c>
      <c r="AG60" s="232">
        <f t="shared" si="22"/>
        <v>38.918501198599259</v>
      </c>
      <c r="AH60" s="187">
        <f>AA60-U60-X60</f>
        <v>-47327040</v>
      </c>
    </row>
    <row r="61" spans="1:34" ht="45.75" customHeight="1" x14ac:dyDescent="0.25">
      <c r="A61" s="76">
        <v>51</v>
      </c>
      <c r="B61" s="102"/>
      <c r="C61" s="102"/>
      <c r="D61" s="156"/>
      <c r="E61" s="156"/>
      <c r="F61" s="157"/>
      <c r="G61" s="158" t="s">
        <v>146</v>
      </c>
      <c r="H61" s="158" t="s">
        <v>147</v>
      </c>
      <c r="I61" s="159" t="s">
        <v>143</v>
      </c>
      <c r="J61" s="160">
        <v>1</v>
      </c>
      <c r="K61" s="161">
        <v>535340740</v>
      </c>
      <c r="L61" s="162">
        <v>1.22</v>
      </c>
      <c r="M61" s="163">
        <v>208139600</v>
      </c>
      <c r="N61" s="164">
        <v>2</v>
      </c>
      <c r="O61" s="164">
        <v>138474464</v>
      </c>
      <c r="P61" s="218">
        <f t="shared" si="20"/>
        <v>1</v>
      </c>
      <c r="Q61" s="179">
        <v>0.5</v>
      </c>
      <c r="R61" s="180">
        <v>0</v>
      </c>
      <c r="S61" s="165">
        <f t="shared" si="16"/>
        <v>0.39999999999999991</v>
      </c>
      <c r="T61" s="179">
        <v>0.7</v>
      </c>
      <c r="U61" s="169">
        <v>0</v>
      </c>
      <c r="V61" s="165">
        <f t="shared" si="23"/>
        <v>0.60000000000000009</v>
      </c>
      <c r="W61" s="170">
        <v>1</v>
      </c>
      <c r="X61" s="169">
        <v>113364464</v>
      </c>
      <c r="Y61" s="165">
        <f t="shared" si="25"/>
        <v>0</v>
      </c>
      <c r="Z61" s="166">
        <v>1</v>
      </c>
      <c r="AA61" s="163">
        <v>0</v>
      </c>
      <c r="AB61" s="171">
        <f t="shared" si="6"/>
        <v>2</v>
      </c>
      <c r="AC61" s="184">
        <f t="shared" si="26"/>
        <v>113364464</v>
      </c>
      <c r="AD61" s="173">
        <f t="shared" si="21"/>
        <v>3.2199999999999998</v>
      </c>
      <c r="AE61" s="173">
        <f t="shared" si="21"/>
        <v>321504064</v>
      </c>
      <c r="AF61" s="173">
        <f t="shared" si="1"/>
        <v>322</v>
      </c>
      <c r="AG61" s="232">
        <f t="shared" si="22"/>
        <v>60.055968092396625</v>
      </c>
      <c r="AH61" s="16"/>
    </row>
    <row r="62" spans="1:34" ht="47.25" customHeight="1" x14ac:dyDescent="0.25">
      <c r="A62" s="101">
        <v>52</v>
      </c>
      <c r="B62" s="102"/>
      <c r="C62" s="102"/>
      <c r="D62" s="177"/>
      <c r="E62" s="177"/>
      <c r="F62" s="157"/>
      <c r="G62" s="158" t="s">
        <v>148</v>
      </c>
      <c r="H62" s="158" t="s">
        <v>149</v>
      </c>
      <c r="I62" s="159" t="s">
        <v>150</v>
      </c>
      <c r="J62" s="160">
        <v>1970</v>
      </c>
      <c r="K62" s="161">
        <v>537918090</v>
      </c>
      <c r="L62" s="162">
        <v>1635.1</v>
      </c>
      <c r="M62" s="163">
        <v>187628230</v>
      </c>
      <c r="N62" s="164">
        <v>1970</v>
      </c>
      <c r="O62" s="164">
        <v>192315220</v>
      </c>
      <c r="P62" s="309">
        <f t="shared" si="20"/>
        <v>1970</v>
      </c>
      <c r="Q62" s="179">
        <v>1</v>
      </c>
      <c r="R62" s="180">
        <v>0</v>
      </c>
      <c r="S62" s="165">
        <f t="shared" si="16"/>
        <v>0</v>
      </c>
      <c r="T62" s="179">
        <v>1</v>
      </c>
      <c r="U62" s="169">
        <v>45375220</v>
      </c>
      <c r="V62" s="165">
        <f t="shared" si="23"/>
        <v>0</v>
      </c>
      <c r="W62" s="170">
        <v>1</v>
      </c>
      <c r="X62" s="169">
        <v>137700000</v>
      </c>
      <c r="Y62" s="165">
        <f t="shared" si="25"/>
        <v>0</v>
      </c>
      <c r="Z62" s="166">
        <v>1</v>
      </c>
      <c r="AA62" s="163">
        <v>0</v>
      </c>
      <c r="AB62" s="171">
        <f t="shared" si="6"/>
        <v>1970</v>
      </c>
      <c r="AC62" s="172">
        <f t="shared" si="26"/>
        <v>183075220</v>
      </c>
      <c r="AD62" s="173">
        <f t="shared" si="21"/>
        <v>3605.1</v>
      </c>
      <c r="AE62" s="173">
        <f t="shared" si="21"/>
        <v>370703450</v>
      </c>
      <c r="AF62" s="232">
        <f t="shared" si="1"/>
        <v>182.99999999999997</v>
      </c>
      <c r="AG62" s="232">
        <f t="shared" si="22"/>
        <v>68.914479154251907</v>
      </c>
      <c r="AH62" s="187">
        <f>AA62-U62-X62</f>
        <v>-183075220</v>
      </c>
    </row>
    <row r="63" spans="1:34" ht="89.25" x14ac:dyDescent="0.25">
      <c r="A63" s="76">
        <v>53</v>
      </c>
      <c r="B63" s="102"/>
      <c r="C63" s="102"/>
      <c r="D63" s="156"/>
      <c r="E63" s="156"/>
      <c r="F63" s="157"/>
      <c r="G63" s="158" t="s">
        <v>151</v>
      </c>
      <c r="H63" s="158" t="s">
        <v>152</v>
      </c>
      <c r="I63" s="159" t="s">
        <v>45</v>
      </c>
      <c r="J63" s="160">
        <v>2</v>
      </c>
      <c r="K63" s="161">
        <v>630662207</v>
      </c>
      <c r="L63" s="162">
        <v>4</v>
      </c>
      <c r="M63" s="163">
        <v>357753614</v>
      </c>
      <c r="N63" s="164">
        <v>3</v>
      </c>
      <c r="O63" s="164">
        <v>597459480</v>
      </c>
      <c r="P63" s="165">
        <f t="shared" si="20"/>
        <v>0</v>
      </c>
      <c r="Q63" s="179">
        <v>0</v>
      </c>
      <c r="R63" s="180">
        <v>0</v>
      </c>
      <c r="S63" s="165">
        <f t="shared" si="16"/>
        <v>1.2000000000000002</v>
      </c>
      <c r="T63" s="179">
        <v>0.4</v>
      </c>
      <c r="U63" s="169">
        <v>2220000</v>
      </c>
      <c r="V63" s="165">
        <f t="shared" si="23"/>
        <v>0.14999999999999991</v>
      </c>
      <c r="W63" s="170">
        <v>0.45</v>
      </c>
      <c r="X63" s="169">
        <v>22830000</v>
      </c>
      <c r="Y63" s="165">
        <f t="shared" si="25"/>
        <v>1.65</v>
      </c>
      <c r="Z63" s="166">
        <v>1</v>
      </c>
      <c r="AA63" s="163">
        <v>315100230</v>
      </c>
      <c r="AB63" s="171">
        <f t="shared" si="6"/>
        <v>3</v>
      </c>
      <c r="AC63" s="172">
        <f t="shared" si="26"/>
        <v>340150230</v>
      </c>
      <c r="AD63" s="173">
        <f t="shared" si="21"/>
        <v>7</v>
      </c>
      <c r="AE63" s="173">
        <f t="shared" si="21"/>
        <v>697903844</v>
      </c>
      <c r="AF63" s="173">
        <f t="shared" si="1"/>
        <v>350</v>
      </c>
      <c r="AG63" s="232">
        <f t="shared" si="22"/>
        <v>110.6620685770695</v>
      </c>
      <c r="AH63" s="187">
        <f>AA63-U63-X63</f>
        <v>290050230</v>
      </c>
    </row>
    <row r="64" spans="1:34" s="154" customFormat="1" ht="56.25" customHeight="1" x14ac:dyDescent="0.25">
      <c r="A64" s="101">
        <v>54</v>
      </c>
      <c r="B64" s="102"/>
      <c r="C64" s="102"/>
      <c r="D64" s="177"/>
      <c r="E64" s="177"/>
      <c r="F64" s="191"/>
      <c r="G64" s="192" t="s">
        <v>153</v>
      </c>
      <c r="H64" s="192" t="s">
        <v>154</v>
      </c>
      <c r="I64" s="193" t="s">
        <v>28</v>
      </c>
      <c r="J64" s="194">
        <v>100</v>
      </c>
      <c r="K64" s="308">
        <f>SUM(K65:K66)</f>
        <v>355635675</v>
      </c>
      <c r="L64" s="196">
        <v>92</v>
      </c>
      <c r="M64" s="308">
        <f>SUM(M65:M66)</f>
        <v>81825657</v>
      </c>
      <c r="N64" s="195">
        <v>100</v>
      </c>
      <c r="O64" s="308">
        <f>SUM(O65:O66)</f>
        <v>124021079</v>
      </c>
      <c r="P64" s="310">
        <f t="shared" si="20"/>
        <v>5</v>
      </c>
      <c r="Q64" s="200">
        <f>AVERAGE(Q65:Q66)</f>
        <v>0.05</v>
      </c>
      <c r="R64" s="199">
        <f>SUM(R65:R66)</f>
        <v>11042805</v>
      </c>
      <c r="S64" s="202">
        <f t="shared" si="16"/>
        <v>10</v>
      </c>
      <c r="T64" s="200">
        <f>AVERAGE(T65:T66)</f>
        <v>0.15</v>
      </c>
      <c r="U64" s="201">
        <f>SUM(U65:U66)</f>
        <v>11808000</v>
      </c>
      <c r="V64" s="202">
        <f>W64*N64-P64-S64</f>
        <v>45</v>
      </c>
      <c r="W64" s="200">
        <f>AVERAGE(W65:W66)</f>
        <v>0.6</v>
      </c>
      <c r="X64" s="201">
        <f>SUM(X65:X66)</f>
        <v>17280250</v>
      </c>
      <c r="Y64" s="202">
        <f>Z64*N64-P64-S64-V64</f>
        <v>40</v>
      </c>
      <c r="Z64" s="203">
        <f>AVERAGE(Z65:Z66)</f>
        <v>1</v>
      </c>
      <c r="AA64" s="201">
        <f>SUM(AA65:AA66)</f>
        <v>55912171</v>
      </c>
      <c r="AB64" s="213">
        <f t="shared" si="6"/>
        <v>100</v>
      </c>
      <c r="AC64" s="204">
        <f>SUM(AC65:AC66)</f>
        <v>96043226</v>
      </c>
      <c r="AD64" s="152">
        <f t="shared" ref="AD64:AE105" si="27">L64+AB64</f>
        <v>192</v>
      </c>
      <c r="AE64" s="152">
        <f>M64+AF64</f>
        <v>81825849</v>
      </c>
      <c r="AF64" s="244">
        <f t="shared" si="1"/>
        <v>192</v>
      </c>
      <c r="AG64" s="244">
        <f t="shared" si="22"/>
        <v>23.008335426416373</v>
      </c>
    </row>
    <row r="65" spans="1:34" s="234" customFormat="1" ht="89.25" customHeight="1" x14ac:dyDescent="0.25">
      <c r="A65" s="76">
        <v>55</v>
      </c>
      <c r="B65" s="102"/>
      <c r="C65" s="102"/>
      <c r="D65" s="156"/>
      <c r="E65" s="156"/>
      <c r="F65" s="311"/>
      <c r="G65" s="158" t="s">
        <v>155</v>
      </c>
      <c r="H65" s="158" t="s">
        <v>156</v>
      </c>
      <c r="I65" s="159" t="s">
        <v>45</v>
      </c>
      <c r="J65" s="160">
        <v>1</v>
      </c>
      <c r="K65" s="161">
        <v>308369856</v>
      </c>
      <c r="L65" s="162">
        <v>0.92</v>
      </c>
      <c r="M65" s="161">
        <v>81825657</v>
      </c>
      <c r="N65" s="184">
        <v>1</v>
      </c>
      <c r="O65" s="184">
        <v>108028955</v>
      </c>
      <c r="P65" s="165">
        <v>0</v>
      </c>
      <c r="Q65" s="312">
        <v>0.1</v>
      </c>
      <c r="R65" s="227">
        <v>11042805</v>
      </c>
      <c r="S65" s="165">
        <v>0</v>
      </c>
      <c r="T65" s="312">
        <v>0.3</v>
      </c>
      <c r="U65" s="228">
        <f>22850805-R65</f>
        <v>11808000</v>
      </c>
      <c r="V65" s="165">
        <v>0</v>
      </c>
      <c r="W65" s="295">
        <v>0.7</v>
      </c>
      <c r="X65" s="230">
        <v>17280250</v>
      </c>
      <c r="Y65" s="165">
        <v>1</v>
      </c>
      <c r="Z65" s="296">
        <v>1</v>
      </c>
      <c r="AA65" s="161">
        <v>48425047</v>
      </c>
      <c r="AB65" s="171">
        <f t="shared" si="6"/>
        <v>1</v>
      </c>
      <c r="AC65" s="172">
        <f>R65+U65+X65+AA65</f>
        <v>88556102</v>
      </c>
      <c r="AD65" s="173">
        <f t="shared" si="27"/>
        <v>1.92</v>
      </c>
      <c r="AE65" s="173">
        <f t="shared" si="27"/>
        <v>170381759</v>
      </c>
      <c r="AF65" s="232">
        <f t="shared" si="1"/>
        <v>192</v>
      </c>
      <c r="AG65" s="232">
        <f t="shared" si="22"/>
        <v>55.252404113066099</v>
      </c>
      <c r="AH65" s="233">
        <f>AA65-R65-U65-X65</f>
        <v>8293992</v>
      </c>
    </row>
    <row r="66" spans="1:34" s="234" customFormat="1" ht="63.75" customHeight="1" x14ac:dyDescent="0.25">
      <c r="A66" s="101">
        <v>56</v>
      </c>
      <c r="B66" s="102"/>
      <c r="C66" s="102"/>
      <c r="D66" s="177"/>
      <c r="E66" s="177"/>
      <c r="F66" s="311"/>
      <c r="G66" s="158" t="s">
        <v>157</v>
      </c>
      <c r="H66" s="158" t="s">
        <v>158</v>
      </c>
      <c r="I66" s="159" t="s">
        <v>159</v>
      </c>
      <c r="J66" s="160">
        <v>60</v>
      </c>
      <c r="K66" s="161">
        <v>47265819</v>
      </c>
      <c r="L66" s="216">
        <v>0</v>
      </c>
      <c r="M66" s="313">
        <v>0</v>
      </c>
      <c r="N66" s="184">
        <v>100</v>
      </c>
      <c r="O66" s="184">
        <v>15992124</v>
      </c>
      <c r="P66" s="165">
        <f t="shared" si="20"/>
        <v>0</v>
      </c>
      <c r="Q66" s="312">
        <v>0</v>
      </c>
      <c r="R66" s="314">
        <v>0</v>
      </c>
      <c r="S66" s="165">
        <f t="shared" si="16"/>
        <v>0</v>
      </c>
      <c r="T66" s="312">
        <v>0</v>
      </c>
      <c r="U66" s="228">
        <v>0</v>
      </c>
      <c r="V66" s="165">
        <f t="shared" si="23"/>
        <v>50</v>
      </c>
      <c r="W66" s="295">
        <v>0.5</v>
      </c>
      <c r="X66" s="230">
        <v>0</v>
      </c>
      <c r="Y66" s="165">
        <f t="shared" ref="Y66" si="28">Z66*N66-P66-S66-V66</f>
        <v>50</v>
      </c>
      <c r="Z66" s="296">
        <v>1</v>
      </c>
      <c r="AA66" s="161">
        <v>7487124</v>
      </c>
      <c r="AB66" s="219">
        <f t="shared" si="6"/>
        <v>100</v>
      </c>
      <c r="AC66" s="184">
        <f>R66+U66+X66+AA66</f>
        <v>7487124</v>
      </c>
      <c r="AD66" s="220">
        <f t="shared" si="27"/>
        <v>100</v>
      </c>
      <c r="AE66" s="315">
        <f t="shared" si="27"/>
        <v>7487124</v>
      </c>
      <c r="AF66" s="220">
        <f t="shared" si="1"/>
        <v>166.66666666666669</v>
      </c>
      <c r="AG66" s="220">
        <f t="shared" si="22"/>
        <v>15.840461793331032</v>
      </c>
    </row>
    <row r="67" spans="1:34" s="154" customFormat="1" ht="69" customHeight="1" x14ac:dyDescent="0.25">
      <c r="A67" s="76">
        <v>57</v>
      </c>
      <c r="B67" s="102"/>
      <c r="C67" s="102"/>
      <c r="D67" s="156"/>
      <c r="E67" s="156"/>
      <c r="F67" s="191"/>
      <c r="G67" s="192" t="s">
        <v>160</v>
      </c>
      <c r="H67" s="192" t="s">
        <v>161</v>
      </c>
      <c r="I67" s="193" t="s">
        <v>28</v>
      </c>
      <c r="J67" s="194">
        <v>100</v>
      </c>
      <c r="K67" s="308">
        <f>SUM(K68:K69)</f>
        <v>289734542</v>
      </c>
      <c r="L67" s="196">
        <v>89</v>
      </c>
      <c r="M67" s="308">
        <f>SUM(M68:M69)</f>
        <v>116545142</v>
      </c>
      <c r="N67" s="195">
        <v>100</v>
      </c>
      <c r="O67" s="195">
        <f>SUM(O68:O69)</f>
        <v>175194381</v>
      </c>
      <c r="P67" s="316">
        <f t="shared" si="20"/>
        <v>0</v>
      </c>
      <c r="Q67" s="200">
        <f>AVERAGE(Q68:Q69)</f>
        <v>0</v>
      </c>
      <c r="R67" s="199">
        <f>SUM(R68:R69)</f>
        <v>10973242</v>
      </c>
      <c r="S67" s="202">
        <f t="shared" si="16"/>
        <v>25</v>
      </c>
      <c r="T67" s="200">
        <f>AVERAGE(T68:T69)</f>
        <v>0.25</v>
      </c>
      <c r="U67" s="197">
        <f>SUM(U68:U69)</f>
        <v>15132100</v>
      </c>
      <c r="V67" s="202">
        <f t="shared" si="23"/>
        <v>30.000000000000007</v>
      </c>
      <c r="W67" s="200">
        <f>AVERAGE(W68:W69)</f>
        <v>0.55000000000000004</v>
      </c>
      <c r="X67" s="197">
        <f>SUM(X68:X69)</f>
        <v>17596032</v>
      </c>
      <c r="Y67" s="202">
        <f>Z67*N67-P67-S67-V67</f>
        <v>44.999999999999993</v>
      </c>
      <c r="Z67" s="203">
        <f>AVERAGE(Z68:Z69)</f>
        <v>1</v>
      </c>
      <c r="AA67" s="201">
        <f>SUM(AA68:AA69)</f>
        <v>45782740</v>
      </c>
      <c r="AB67" s="213">
        <f t="shared" si="6"/>
        <v>100</v>
      </c>
      <c r="AC67" s="199">
        <f>SUM(AC68:AC69)</f>
        <v>89484114</v>
      </c>
      <c r="AD67" s="152">
        <f t="shared" si="27"/>
        <v>189</v>
      </c>
      <c r="AE67" s="152">
        <f t="shared" si="27"/>
        <v>206029256</v>
      </c>
      <c r="AF67" s="244">
        <f t="shared" si="1"/>
        <v>189</v>
      </c>
      <c r="AG67" s="244">
        <f t="shared" si="22"/>
        <v>71.109662858217305</v>
      </c>
    </row>
    <row r="68" spans="1:34" s="234" customFormat="1" ht="64.5" customHeight="1" x14ac:dyDescent="0.25">
      <c r="A68" s="101">
        <v>58</v>
      </c>
      <c r="B68" s="102"/>
      <c r="C68" s="102"/>
      <c r="D68" s="177"/>
      <c r="E68" s="177"/>
      <c r="F68" s="311"/>
      <c r="G68" s="158" t="s">
        <v>162</v>
      </c>
      <c r="H68" s="158" t="s">
        <v>163</v>
      </c>
      <c r="I68" s="159" t="s">
        <v>164</v>
      </c>
      <c r="J68" s="160">
        <v>1</v>
      </c>
      <c r="K68" s="161">
        <v>51632180</v>
      </c>
      <c r="L68" s="216">
        <v>0</v>
      </c>
      <c r="M68" s="313">
        <v>0</v>
      </c>
      <c r="N68" s="184">
        <v>1</v>
      </c>
      <c r="O68" s="184">
        <v>27136024</v>
      </c>
      <c r="P68" s="165">
        <v>0</v>
      </c>
      <c r="Q68" s="312">
        <v>0</v>
      </c>
      <c r="R68" s="314">
        <v>0</v>
      </c>
      <c r="S68" s="165">
        <v>0</v>
      </c>
      <c r="T68" s="312">
        <v>0.2</v>
      </c>
      <c r="U68" s="228">
        <v>0</v>
      </c>
      <c r="V68" s="165">
        <v>0</v>
      </c>
      <c r="W68" s="295">
        <v>0.6</v>
      </c>
      <c r="X68" s="230">
        <v>0</v>
      </c>
      <c r="Y68" s="165">
        <v>1</v>
      </c>
      <c r="Z68" s="296">
        <v>1</v>
      </c>
      <c r="AA68" s="161">
        <v>1036024</v>
      </c>
      <c r="AB68" s="171">
        <f t="shared" si="6"/>
        <v>1</v>
      </c>
      <c r="AC68" s="184">
        <f>R68+U68+X68+AA68</f>
        <v>1036024</v>
      </c>
      <c r="AD68" s="220">
        <f t="shared" si="27"/>
        <v>1</v>
      </c>
      <c r="AE68" s="220">
        <f t="shared" si="27"/>
        <v>1036024</v>
      </c>
      <c r="AF68" s="220">
        <f t="shared" si="1"/>
        <v>100</v>
      </c>
      <c r="AG68" s="220">
        <f t="shared" si="22"/>
        <v>2.0065470797475529</v>
      </c>
    </row>
    <row r="69" spans="1:34" s="234" customFormat="1" ht="57.75" customHeight="1" x14ac:dyDescent="0.25">
      <c r="A69" s="76">
        <v>59</v>
      </c>
      <c r="B69" s="102"/>
      <c r="C69" s="102"/>
      <c r="D69" s="156"/>
      <c r="E69" s="156"/>
      <c r="F69" s="157"/>
      <c r="G69" s="317" t="s">
        <v>165</v>
      </c>
      <c r="H69" s="158" t="s">
        <v>166</v>
      </c>
      <c r="I69" s="159" t="s">
        <v>56</v>
      </c>
      <c r="J69" s="161">
        <v>1</v>
      </c>
      <c r="K69" s="161">
        <v>238102362</v>
      </c>
      <c r="L69" s="162">
        <v>0.89</v>
      </c>
      <c r="M69" s="318">
        <v>116545142</v>
      </c>
      <c r="N69" s="184">
        <v>1</v>
      </c>
      <c r="O69" s="315">
        <v>148058357</v>
      </c>
      <c r="P69" s="216">
        <v>0</v>
      </c>
      <c r="Q69" s="267">
        <v>0</v>
      </c>
      <c r="R69" s="227">
        <v>10973242</v>
      </c>
      <c r="S69" s="165">
        <v>0</v>
      </c>
      <c r="T69" s="267">
        <v>0.3</v>
      </c>
      <c r="U69" s="230">
        <f>26105342-R69</f>
        <v>15132100</v>
      </c>
      <c r="V69" s="165">
        <v>0</v>
      </c>
      <c r="W69" s="295">
        <v>0.5</v>
      </c>
      <c r="X69" s="228">
        <v>17596032</v>
      </c>
      <c r="Y69" s="165">
        <f t="shared" ref="Y69" si="29">Z69*N69-P69-S69-V69</f>
        <v>1</v>
      </c>
      <c r="Z69" s="319">
        <v>1</v>
      </c>
      <c r="AA69" s="161">
        <v>44746716</v>
      </c>
      <c r="AB69" s="171">
        <f t="shared" si="6"/>
        <v>1</v>
      </c>
      <c r="AC69" s="172">
        <f>R69+U69+X69+AA69</f>
        <v>88448090</v>
      </c>
      <c r="AD69" s="173">
        <f t="shared" si="27"/>
        <v>1.8900000000000001</v>
      </c>
      <c r="AE69" s="173">
        <f t="shared" si="27"/>
        <v>204993232</v>
      </c>
      <c r="AF69" s="232">
        <f t="shared" si="1"/>
        <v>189</v>
      </c>
      <c r="AG69" s="232">
        <f t="shared" si="22"/>
        <v>86.094581455685017</v>
      </c>
      <c r="AH69" s="233">
        <f>AA69-R69-U69-X69</f>
        <v>1045342</v>
      </c>
    </row>
    <row r="70" spans="1:34" s="326" customFormat="1" ht="65.25" customHeight="1" x14ac:dyDescent="0.25">
      <c r="A70" s="101">
        <v>60</v>
      </c>
      <c r="B70" s="102"/>
      <c r="C70" s="102"/>
      <c r="D70" s="103"/>
      <c r="E70" s="103"/>
      <c r="F70" s="320"/>
      <c r="G70" s="126" t="s">
        <v>167</v>
      </c>
      <c r="H70" s="126" t="s">
        <v>168</v>
      </c>
      <c r="I70" s="127" t="s">
        <v>28</v>
      </c>
      <c r="J70" s="298">
        <v>100</v>
      </c>
      <c r="K70" s="129">
        <f>SUM(K71+K77+K84)</f>
        <v>3055177442</v>
      </c>
      <c r="L70" s="300">
        <v>82</v>
      </c>
      <c r="M70" s="129">
        <f>SUM(M71+M77+M84)</f>
        <v>1959638980</v>
      </c>
      <c r="N70" s="129">
        <v>100</v>
      </c>
      <c r="O70" s="129">
        <f>SUM(O71+O77+O84)</f>
        <v>1799493836</v>
      </c>
      <c r="P70" s="301">
        <f t="shared" ref="P70:P85" si="30">Q70*N70</f>
        <v>16.666666666666664</v>
      </c>
      <c r="Q70" s="321">
        <f>AVERAGE(Q71,Q77,Q84)</f>
        <v>0.16666666666666666</v>
      </c>
      <c r="R70" s="322">
        <f>SUM(R71+R77+R84)</f>
        <v>62378365</v>
      </c>
      <c r="S70" s="301">
        <f t="shared" si="16"/>
        <v>26.380952380952387</v>
      </c>
      <c r="T70" s="321">
        <f>AVERAGE(T71:T77:T84)</f>
        <v>0.43047619047619051</v>
      </c>
      <c r="U70" s="323">
        <f>SUM(U71+U77+U84)</f>
        <v>126237776</v>
      </c>
      <c r="V70" s="301">
        <f t="shared" si="23"/>
        <v>18.857142857142868</v>
      </c>
      <c r="W70" s="324">
        <f>AVERAGE(W71:W77:W84)</f>
        <v>0.61904761904761918</v>
      </c>
      <c r="X70" s="323">
        <f>SUM(X71+X77+X84)</f>
        <v>259870150</v>
      </c>
      <c r="Y70" s="301">
        <f>Z70*N70-P70-S70-V70</f>
        <v>30.952380952380949</v>
      </c>
      <c r="Z70" s="325">
        <f>AVERAGE(Z71:Z77:Z84)</f>
        <v>0.9285714285714286</v>
      </c>
      <c r="AA70" s="323">
        <f>SUM(AA71+AA77+AA84)</f>
        <v>1000525341</v>
      </c>
      <c r="AB70" s="131">
        <f t="shared" si="6"/>
        <v>92.857142857142861</v>
      </c>
      <c r="AC70" s="306">
        <f>SUM(AC71+AC77+AC84)</f>
        <v>1449011632</v>
      </c>
      <c r="AD70" s="130">
        <f t="shared" si="27"/>
        <v>174.85714285714286</v>
      </c>
      <c r="AE70" s="130">
        <f t="shared" si="27"/>
        <v>3408650612</v>
      </c>
      <c r="AF70" s="135">
        <f t="shared" si="1"/>
        <v>174.85714285714286</v>
      </c>
      <c r="AG70" s="135">
        <f t="shared" si="22"/>
        <v>111.56964453654146</v>
      </c>
    </row>
    <row r="71" spans="1:34" s="154" customFormat="1" ht="113.25" customHeight="1" x14ac:dyDescent="0.25">
      <c r="A71" s="76">
        <v>61</v>
      </c>
      <c r="B71" s="102"/>
      <c r="C71" s="102"/>
      <c r="D71" s="156"/>
      <c r="E71" s="156"/>
      <c r="F71" s="191"/>
      <c r="G71" s="192" t="s">
        <v>169</v>
      </c>
      <c r="H71" s="192" t="s">
        <v>170</v>
      </c>
      <c r="I71" s="193" t="s">
        <v>28</v>
      </c>
      <c r="J71" s="194">
        <v>100</v>
      </c>
      <c r="K71" s="308">
        <f>SUM(K72:K76)</f>
        <v>1331603047</v>
      </c>
      <c r="L71" s="195">
        <v>76</v>
      </c>
      <c r="M71" s="195">
        <f>SUM(M72:M76)</f>
        <v>894848529</v>
      </c>
      <c r="N71" s="195">
        <v>100</v>
      </c>
      <c r="O71" s="195">
        <f>SUM(O72:O76)</f>
        <v>764697952</v>
      </c>
      <c r="P71" s="310">
        <f>Q71*N71</f>
        <v>26</v>
      </c>
      <c r="Q71" s="200">
        <f>AVERAGE(Q72:Q76)</f>
        <v>0.26</v>
      </c>
      <c r="R71" s="199">
        <f>SUM(R72:R76)</f>
        <v>23487311</v>
      </c>
      <c r="S71" s="202">
        <f>T71*N71-P71</f>
        <v>28</v>
      </c>
      <c r="T71" s="200">
        <f>AVERAGE(T72:T76)</f>
        <v>0.54</v>
      </c>
      <c r="U71" s="201">
        <f>SUM(U72:U76)</f>
        <v>75391882</v>
      </c>
      <c r="V71" s="202">
        <f>W71*N71-P71-S71</f>
        <v>20</v>
      </c>
      <c r="W71" s="203">
        <f>AVERAGE(W72:W76)</f>
        <v>0.74</v>
      </c>
      <c r="X71" s="201">
        <f>SUM(X72:X76)</f>
        <v>112481330</v>
      </c>
      <c r="Y71" s="202">
        <f>Z71*N71-P71-S71-V71</f>
        <v>26</v>
      </c>
      <c r="Z71" s="203">
        <f>AVERAGE(Z72:Z76)</f>
        <v>1</v>
      </c>
      <c r="AA71" s="201">
        <f>SUM(AA72:AA76)</f>
        <v>455855645</v>
      </c>
      <c r="AB71" s="213">
        <f t="shared" si="6"/>
        <v>100</v>
      </c>
      <c r="AC71" s="204">
        <f>SUM(AC72:AC76)</f>
        <v>667216168</v>
      </c>
      <c r="AD71" s="152">
        <f t="shared" si="27"/>
        <v>176</v>
      </c>
      <c r="AE71" s="152">
        <f t="shared" si="27"/>
        <v>1562064697</v>
      </c>
      <c r="AF71" s="244">
        <f t="shared" si="1"/>
        <v>176</v>
      </c>
      <c r="AG71" s="244">
        <f t="shared" si="22"/>
        <v>117.3070834074173</v>
      </c>
    </row>
    <row r="72" spans="1:34" ht="115.5" customHeight="1" x14ac:dyDescent="0.25">
      <c r="A72" s="101">
        <v>62</v>
      </c>
      <c r="B72" s="102"/>
      <c r="C72" s="102"/>
      <c r="D72" s="177"/>
      <c r="E72" s="177"/>
      <c r="F72" s="157"/>
      <c r="G72" s="158" t="s">
        <v>171</v>
      </c>
      <c r="H72" s="158" t="s">
        <v>172</v>
      </c>
      <c r="I72" s="159" t="s">
        <v>45</v>
      </c>
      <c r="J72" s="160">
        <v>1</v>
      </c>
      <c r="K72" s="161">
        <v>524082890</v>
      </c>
      <c r="L72" s="162">
        <v>0.95</v>
      </c>
      <c r="M72" s="163">
        <v>315140339</v>
      </c>
      <c r="N72" s="235">
        <v>1</v>
      </c>
      <c r="O72" s="235">
        <v>254403640</v>
      </c>
      <c r="P72" s="165">
        <v>0</v>
      </c>
      <c r="Q72" s="179">
        <v>0.3</v>
      </c>
      <c r="R72" s="167">
        <v>8835714</v>
      </c>
      <c r="S72" s="327">
        <v>0</v>
      </c>
      <c r="T72" s="179">
        <v>0.6</v>
      </c>
      <c r="U72" s="169">
        <f>49105038-R72</f>
        <v>40269324</v>
      </c>
      <c r="V72" s="165">
        <v>0</v>
      </c>
      <c r="W72" s="170">
        <v>0.75</v>
      </c>
      <c r="X72" s="169">
        <v>46782396</v>
      </c>
      <c r="Y72" s="165">
        <v>1</v>
      </c>
      <c r="Z72" s="166">
        <v>1</v>
      </c>
      <c r="AA72" s="163">
        <v>135495765</v>
      </c>
      <c r="AB72" s="171">
        <f t="shared" si="6"/>
        <v>1</v>
      </c>
      <c r="AC72" s="172">
        <f>R72+U72+X72+AA72</f>
        <v>231383199</v>
      </c>
      <c r="AD72" s="173">
        <f t="shared" si="27"/>
        <v>1.95</v>
      </c>
      <c r="AE72" s="173">
        <f t="shared" si="27"/>
        <v>546523538</v>
      </c>
      <c r="AF72" s="232">
        <f t="shared" si="1"/>
        <v>195</v>
      </c>
      <c r="AG72" s="232">
        <f t="shared" si="22"/>
        <v>104.28188907292891</v>
      </c>
      <c r="AH72" s="176">
        <f>AA72-R72-U72-X72</f>
        <v>39608331</v>
      </c>
    </row>
    <row r="73" spans="1:34" ht="100.5" customHeight="1" x14ac:dyDescent="0.25">
      <c r="A73" s="76">
        <v>63</v>
      </c>
      <c r="B73" s="102"/>
      <c r="C73" s="102"/>
      <c r="D73" s="156"/>
      <c r="E73" s="156"/>
      <c r="F73" s="157"/>
      <c r="G73" s="158" t="s">
        <v>173</v>
      </c>
      <c r="H73" s="158" t="s">
        <v>174</v>
      </c>
      <c r="I73" s="159" t="s">
        <v>56</v>
      </c>
      <c r="J73" s="160">
        <v>1</v>
      </c>
      <c r="K73" s="161">
        <v>13309842</v>
      </c>
      <c r="L73" s="162">
        <v>1</v>
      </c>
      <c r="M73" s="163">
        <v>14815900</v>
      </c>
      <c r="N73" s="235">
        <v>1</v>
      </c>
      <c r="O73" s="235">
        <v>12668500</v>
      </c>
      <c r="P73" s="165">
        <v>0</v>
      </c>
      <c r="Q73" s="179">
        <v>0.2</v>
      </c>
      <c r="R73" s="180">
        <v>0</v>
      </c>
      <c r="S73" s="327">
        <v>0</v>
      </c>
      <c r="T73" s="179">
        <v>0.5</v>
      </c>
      <c r="U73" s="169">
        <v>3196775</v>
      </c>
      <c r="V73" s="165">
        <v>0</v>
      </c>
      <c r="W73" s="170">
        <v>0.75</v>
      </c>
      <c r="X73" s="169">
        <v>6000000</v>
      </c>
      <c r="Y73" s="165">
        <v>1</v>
      </c>
      <c r="Z73" s="166">
        <v>1</v>
      </c>
      <c r="AA73" s="163">
        <v>3471725</v>
      </c>
      <c r="AB73" s="171">
        <f t="shared" si="6"/>
        <v>1</v>
      </c>
      <c r="AC73" s="172">
        <f>R73+U73+X73+AA73</f>
        <v>12668500</v>
      </c>
      <c r="AD73" s="173">
        <f t="shared" si="27"/>
        <v>2</v>
      </c>
      <c r="AE73" s="173">
        <f t="shared" si="27"/>
        <v>27484400</v>
      </c>
      <c r="AF73" s="173">
        <f t="shared" si="1"/>
        <v>200</v>
      </c>
      <c r="AG73" s="232">
        <f t="shared" si="22"/>
        <v>206.49681641600256</v>
      </c>
      <c r="AH73" s="187">
        <f>AA73-U73-X73</f>
        <v>-5725050</v>
      </c>
    </row>
    <row r="74" spans="1:34" ht="120.75" customHeight="1" x14ac:dyDescent="0.25">
      <c r="A74" s="101">
        <v>64</v>
      </c>
      <c r="B74" s="102"/>
      <c r="C74" s="102"/>
      <c r="D74" s="177"/>
      <c r="E74" s="177"/>
      <c r="F74" s="157"/>
      <c r="G74" s="158" t="s">
        <v>175</v>
      </c>
      <c r="H74" s="158" t="s">
        <v>176</v>
      </c>
      <c r="I74" s="159" t="s">
        <v>45</v>
      </c>
      <c r="J74" s="160">
        <v>3</v>
      </c>
      <c r="K74" s="161">
        <v>344629966</v>
      </c>
      <c r="L74" s="162">
        <v>0.97</v>
      </c>
      <c r="M74" s="163">
        <v>281728490</v>
      </c>
      <c r="N74" s="235">
        <v>2</v>
      </c>
      <c r="O74" s="235">
        <v>206288763</v>
      </c>
      <c r="P74" s="165">
        <v>0</v>
      </c>
      <c r="Q74" s="179">
        <v>0.25</v>
      </c>
      <c r="R74" s="180">
        <v>0</v>
      </c>
      <c r="S74" s="327">
        <v>0</v>
      </c>
      <c r="T74" s="179">
        <v>0.5</v>
      </c>
      <c r="U74" s="169">
        <v>6370263</v>
      </c>
      <c r="V74" s="327">
        <f>W74*N74-P74-S74</f>
        <v>1.4</v>
      </c>
      <c r="W74" s="170">
        <v>0.7</v>
      </c>
      <c r="X74" s="169">
        <v>27066000</v>
      </c>
      <c r="Y74" s="327">
        <f>Z74*N74-P74-S74-V74</f>
        <v>0.60000000000000009</v>
      </c>
      <c r="Z74" s="166">
        <v>1</v>
      </c>
      <c r="AA74" s="163">
        <v>137870900</v>
      </c>
      <c r="AB74" s="171">
        <f t="shared" si="6"/>
        <v>2</v>
      </c>
      <c r="AC74" s="172">
        <f>R74+U74+X74+AA74</f>
        <v>171307163</v>
      </c>
      <c r="AD74" s="173">
        <f t="shared" si="27"/>
        <v>2.9699999999999998</v>
      </c>
      <c r="AE74" s="173">
        <f t="shared" si="27"/>
        <v>453035653</v>
      </c>
      <c r="AF74" s="232">
        <f t="shared" si="1"/>
        <v>98.999999999999986</v>
      </c>
      <c r="AG74" s="232">
        <f t="shared" si="22"/>
        <v>131.45567643412645</v>
      </c>
      <c r="AH74" s="187">
        <f>AA74-R74-U74-X74</f>
        <v>104434637</v>
      </c>
    </row>
    <row r="75" spans="1:34" ht="123.75" customHeight="1" x14ac:dyDescent="0.25">
      <c r="A75" s="76">
        <v>65</v>
      </c>
      <c r="B75" s="102"/>
      <c r="C75" s="102"/>
      <c r="D75" s="156"/>
      <c r="E75" s="156"/>
      <c r="F75" s="157"/>
      <c r="G75" s="158" t="s">
        <v>177</v>
      </c>
      <c r="H75" s="158" t="s">
        <v>178</v>
      </c>
      <c r="I75" s="159" t="s">
        <v>56</v>
      </c>
      <c r="J75" s="160">
        <v>2</v>
      </c>
      <c r="K75" s="161">
        <v>36874332</v>
      </c>
      <c r="L75" s="328">
        <v>0</v>
      </c>
      <c r="M75" s="237">
        <v>0</v>
      </c>
      <c r="N75" s="235">
        <v>1</v>
      </c>
      <c r="O75" s="235">
        <v>18027520</v>
      </c>
      <c r="P75" s="165">
        <v>0</v>
      </c>
      <c r="Q75" s="179">
        <v>0.25</v>
      </c>
      <c r="R75" s="180">
        <v>0</v>
      </c>
      <c r="S75" s="327">
        <v>0</v>
      </c>
      <c r="T75" s="179">
        <v>0.5</v>
      </c>
      <c r="U75" s="169">
        <v>3447520</v>
      </c>
      <c r="V75" s="165">
        <v>0</v>
      </c>
      <c r="W75" s="170">
        <v>0.75</v>
      </c>
      <c r="X75" s="169">
        <v>3450000</v>
      </c>
      <c r="Y75" s="165">
        <v>1</v>
      </c>
      <c r="Z75" s="166">
        <v>1</v>
      </c>
      <c r="AA75" s="163">
        <v>11100000</v>
      </c>
      <c r="AB75" s="171">
        <f t="shared" si="6"/>
        <v>1</v>
      </c>
      <c r="AC75" s="172">
        <f>R75+U75+X75+AA75</f>
        <v>17997520</v>
      </c>
      <c r="AD75" s="220">
        <f t="shared" si="27"/>
        <v>1</v>
      </c>
      <c r="AE75" s="240">
        <f t="shared" si="27"/>
        <v>17997520</v>
      </c>
      <c r="AF75" s="220">
        <f t="shared" si="1"/>
        <v>50</v>
      </c>
      <c r="AG75" s="241">
        <f t="shared" si="22"/>
        <v>48.807718062526526</v>
      </c>
      <c r="AH75" s="187">
        <f>AA75-R75-U75-X75</f>
        <v>4202480</v>
      </c>
    </row>
    <row r="76" spans="1:34" ht="88.5" customHeight="1" x14ac:dyDescent="0.25">
      <c r="A76" s="101">
        <v>66</v>
      </c>
      <c r="B76" s="102"/>
      <c r="C76" s="102"/>
      <c r="D76" s="177"/>
      <c r="E76" s="177"/>
      <c r="F76" s="157"/>
      <c r="G76" s="158" t="s">
        <v>179</v>
      </c>
      <c r="H76" s="158" t="s">
        <v>180</v>
      </c>
      <c r="I76" s="159" t="s">
        <v>56</v>
      </c>
      <c r="J76" s="160">
        <v>5</v>
      </c>
      <c r="K76" s="161">
        <v>412706017</v>
      </c>
      <c r="L76" s="162">
        <v>0.88000000000000012</v>
      </c>
      <c r="M76" s="163">
        <v>283163800</v>
      </c>
      <c r="N76" s="164">
        <v>5</v>
      </c>
      <c r="O76" s="164">
        <v>273309529</v>
      </c>
      <c r="P76" s="165">
        <f t="shared" si="30"/>
        <v>1.5</v>
      </c>
      <c r="Q76" s="179">
        <v>0.3</v>
      </c>
      <c r="R76" s="167">
        <v>14651597</v>
      </c>
      <c r="S76" s="327">
        <f t="shared" ref="S76" si="31">T76*N76-P76</f>
        <v>1.5</v>
      </c>
      <c r="T76" s="179">
        <v>0.6</v>
      </c>
      <c r="U76" s="169">
        <f>36759597-R76</f>
        <v>22108000</v>
      </c>
      <c r="V76" s="165">
        <f t="shared" si="23"/>
        <v>0.75</v>
      </c>
      <c r="W76" s="170">
        <v>0.75</v>
      </c>
      <c r="X76" s="169">
        <v>29182934</v>
      </c>
      <c r="Y76" s="165">
        <f>Z76*N76-P76-S76-V76</f>
        <v>1.25</v>
      </c>
      <c r="Z76" s="166">
        <v>1</v>
      </c>
      <c r="AA76" s="163">
        <v>167917255</v>
      </c>
      <c r="AB76" s="171">
        <f t="shared" si="6"/>
        <v>5</v>
      </c>
      <c r="AC76" s="172">
        <f>R76+U76+X76+AA76</f>
        <v>233859786</v>
      </c>
      <c r="AD76" s="173">
        <f t="shared" si="27"/>
        <v>5.88</v>
      </c>
      <c r="AE76" s="173">
        <f t="shared" si="27"/>
        <v>517023586</v>
      </c>
      <c r="AF76" s="232">
        <f t="shared" si="1"/>
        <v>117.6</v>
      </c>
      <c r="AG76" s="232">
        <f t="shared" si="22"/>
        <v>125.27648367191118</v>
      </c>
      <c r="AH76" s="176">
        <f>AA76-R76-U76-X76</f>
        <v>101974724</v>
      </c>
    </row>
    <row r="77" spans="1:34" s="154" customFormat="1" ht="105.75" customHeight="1" x14ac:dyDescent="0.25">
      <c r="A77" s="76">
        <v>67</v>
      </c>
      <c r="B77" s="102"/>
      <c r="C77" s="102"/>
      <c r="D77" s="156"/>
      <c r="E77" s="156"/>
      <c r="F77" s="191"/>
      <c r="G77" s="192" t="s">
        <v>181</v>
      </c>
      <c r="H77" s="192" t="s">
        <v>182</v>
      </c>
      <c r="I77" s="193" t="s">
        <v>28</v>
      </c>
      <c r="J77" s="194">
        <v>100</v>
      </c>
      <c r="K77" s="308">
        <f>SUM(K78:K83)</f>
        <v>780437124</v>
      </c>
      <c r="L77" s="329">
        <v>89</v>
      </c>
      <c r="M77" s="308">
        <f>SUM(M78:M83)</f>
        <v>488161132</v>
      </c>
      <c r="N77" s="195">
        <v>100</v>
      </c>
      <c r="O77" s="195">
        <f>SUM(O78:O83)</f>
        <v>298411775</v>
      </c>
      <c r="P77" s="202">
        <f t="shared" si="30"/>
        <v>19</v>
      </c>
      <c r="Q77" s="200">
        <f>AVERAGE(Q78:Q81,Q83)</f>
        <v>0.19</v>
      </c>
      <c r="R77" s="204">
        <f>SUM(R78:R83)</f>
        <v>18027054</v>
      </c>
      <c r="S77" s="202">
        <f>T77*N77-P77</f>
        <v>23.000000000000007</v>
      </c>
      <c r="T77" s="200">
        <f>AVERAGE(T78:T81,T83)</f>
        <v>0.42000000000000004</v>
      </c>
      <c r="U77" s="201">
        <f>SUM(U78:U83)</f>
        <v>21495208</v>
      </c>
      <c r="V77" s="202">
        <f t="shared" si="23"/>
        <v>19</v>
      </c>
      <c r="W77" s="200">
        <f>AVERAGE(W78:W81,W83)</f>
        <v>0.6100000000000001</v>
      </c>
      <c r="X77" s="201">
        <f>SUM(X78:X83)</f>
        <v>9700371</v>
      </c>
      <c r="Y77" s="202">
        <f>Z77*N77-P77-S77-V77</f>
        <v>38.999999999999993</v>
      </c>
      <c r="Z77" s="200">
        <f>AVERAGE(Z78:Z81,Z83)</f>
        <v>1</v>
      </c>
      <c r="AA77" s="201">
        <f>SUM(AA78:AA83)</f>
        <v>136768789</v>
      </c>
      <c r="AB77" s="150">
        <f t="shared" si="6"/>
        <v>100</v>
      </c>
      <c r="AC77" s="199">
        <f>SUM(AC78:AC83)</f>
        <v>185991422</v>
      </c>
      <c r="AD77" s="152">
        <f t="shared" si="27"/>
        <v>189</v>
      </c>
      <c r="AE77" s="152">
        <f t="shared" si="27"/>
        <v>674152554</v>
      </c>
      <c r="AF77" s="244">
        <f t="shared" si="1"/>
        <v>189</v>
      </c>
      <c r="AG77" s="244">
        <f t="shared" si="22"/>
        <v>86.381405146995547</v>
      </c>
    </row>
    <row r="78" spans="1:34" s="234" customFormat="1" ht="114" customHeight="1" x14ac:dyDescent="0.25">
      <c r="A78" s="101">
        <v>68</v>
      </c>
      <c r="B78" s="102"/>
      <c r="C78" s="102"/>
      <c r="D78" s="177"/>
      <c r="E78" s="177"/>
      <c r="F78" s="157"/>
      <c r="G78" s="158" t="s">
        <v>183</v>
      </c>
      <c r="H78" s="158" t="s">
        <v>184</v>
      </c>
      <c r="I78" s="159" t="s">
        <v>45</v>
      </c>
      <c r="J78" s="161">
        <v>1</v>
      </c>
      <c r="K78" s="161">
        <v>235720346</v>
      </c>
      <c r="L78" s="162">
        <v>0.94</v>
      </c>
      <c r="M78" s="318">
        <v>208494200</v>
      </c>
      <c r="N78" s="184">
        <v>1</v>
      </c>
      <c r="O78" s="173">
        <v>62481070</v>
      </c>
      <c r="P78" s="327">
        <v>0</v>
      </c>
      <c r="Q78" s="312">
        <v>0.1</v>
      </c>
      <c r="R78" s="186">
        <v>2008463</v>
      </c>
      <c r="S78" s="327">
        <v>0</v>
      </c>
      <c r="T78" s="267">
        <v>0.45</v>
      </c>
      <c r="U78" s="228">
        <f>8962463-R78</f>
        <v>6954000</v>
      </c>
      <c r="V78" s="165">
        <v>0</v>
      </c>
      <c r="W78" s="295">
        <v>0.6</v>
      </c>
      <c r="X78" s="230">
        <v>8730371</v>
      </c>
      <c r="Y78" s="165">
        <v>1</v>
      </c>
      <c r="Z78" s="296">
        <v>1</v>
      </c>
      <c r="AA78" s="161">
        <v>15600474</v>
      </c>
      <c r="AB78" s="171">
        <f t="shared" si="6"/>
        <v>1</v>
      </c>
      <c r="AC78" s="330">
        <f>R78+U78+X78+AA78</f>
        <v>33293308</v>
      </c>
      <c r="AD78" s="173">
        <f t="shared" si="27"/>
        <v>1.94</v>
      </c>
      <c r="AE78" s="173">
        <f t="shared" si="27"/>
        <v>241787508</v>
      </c>
      <c r="AF78" s="232">
        <f t="shared" ref="AF78:AF105" si="32">(AD78/J78)*100</f>
        <v>194</v>
      </c>
      <c r="AG78" s="232">
        <f t="shared" si="22"/>
        <v>102.57388133988231</v>
      </c>
      <c r="AH78" s="233">
        <f>AA78-R78-U78-X78</f>
        <v>-2092360</v>
      </c>
    </row>
    <row r="79" spans="1:34" s="234" customFormat="1" ht="117" customHeight="1" x14ac:dyDescent="0.25">
      <c r="A79" s="76">
        <v>69</v>
      </c>
      <c r="B79" s="102"/>
      <c r="C79" s="102"/>
      <c r="D79" s="156"/>
      <c r="E79" s="156"/>
      <c r="F79" s="157"/>
      <c r="G79" s="331" t="s">
        <v>185</v>
      </c>
      <c r="H79" s="332" t="s">
        <v>186</v>
      </c>
      <c r="I79" s="333" t="s">
        <v>56</v>
      </c>
      <c r="J79" s="334">
        <v>1</v>
      </c>
      <c r="K79" s="334">
        <v>31028507</v>
      </c>
      <c r="L79" s="335">
        <v>0.8</v>
      </c>
      <c r="M79" s="336">
        <v>16918000</v>
      </c>
      <c r="N79" s="337">
        <v>1</v>
      </c>
      <c r="O79" s="338">
        <v>29533380</v>
      </c>
      <c r="P79" s="339">
        <f t="shared" si="30"/>
        <v>0.2</v>
      </c>
      <c r="Q79" s="340">
        <v>0.2</v>
      </c>
      <c r="R79" s="341">
        <v>0</v>
      </c>
      <c r="S79" s="339">
        <f t="shared" ref="S79:S82" si="33">T79*N79-P79</f>
        <v>9.9999999999999978E-2</v>
      </c>
      <c r="T79" s="290">
        <v>0.3</v>
      </c>
      <c r="U79" s="342">
        <v>0</v>
      </c>
      <c r="V79" s="343">
        <f t="shared" si="23"/>
        <v>0.15000000000000002</v>
      </c>
      <c r="W79" s="344">
        <v>0.45</v>
      </c>
      <c r="X79" s="345">
        <v>0</v>
      </c>
      <c r="Y79" s="343">
        <f t="shared" ref="Y79" si="34">Z79*N79-P79-S79-V79</f>
        <v>0.55000000000000004</v>
      </c>
      <c r="Z79" s="346">
        <v>1</v>
      </c>
      <c r="AA79" s="334">
        <v>19911000</v>
      </c>
      <c r="AB79" s="181">
        <f t="shared" si="6"/>
        <v>1</v>
      </c>
      <c r="AC79" s="347">
        <f t="shared" ref="AC79:AC83" si="35">R79+U79+X79+AA79</f>
        <v>19911000</v>
      </c>
      <c r="AD79" s="348">
        <f t="shared" si="27"/>
        <v>1.8</v>
      </c>
      <c r="AE79" s="348">
        <f t="shared" si="27"/>
        <v>36829000</v>
      </c>
      <c r="AF79" s="348">
        <f t="shared" si="32"/>
        <v>180</v>
      </c>
      <c r="AG79" s="349">
        <f t="shared" si="22"/>
        <v>118.69407703051907</v>
      </c>
    </row>
    <row r="80" spans="1:34" ht="77.25" customHeight="1" x14ac:dyDescent="0.25">
      <c r="A80" s="101">
        <v>70</v>
      </c>
      <c r="B80" s="102"/>
      <c r="C80" s="102"/>
      <c r="D80" s="177"/>
      <c r="E80" s="177"/>
      <c r="F80" s="157"/>
      <c r="G80" s="158" t="s">
        <v>187</v>
      </c>
      <c r="H80" s="158" t="s">
        <v>188</v>
      </c>
      <c r="I80" s="159" t="s">
        <v>56</v>
      </c>
      <c r="J80" s="160">
        <v>1</v>
      </c>
      <c r="K80" s="161">
        <v>332334818</v>
      </c>
      <c r="L80" s="162">
        <v>0.77</v>
      </c>
      <c r="M80" s="163">
        <v>118973932</v>
      </c>
      <c r="N80" s="164">
        <v>1</v>
      </c>
      <c r="O80" s="164">
        <v>141377291</v>
      </c>
      <c r="P80" s="327">
        <v>0</v>
      </c>
      <c r="Q80" s="350">
        <v>0.25</v>
      </c>
      <c r="R80" s="167">
        <v>14718591</v>
      </c>
      <c r="S80" s="327">
        <v>0</v>
      </c>
      <c r="T80" s="179">
        <v>0.55000000000000004</v>
      </c>
      <c r="U80" s="169">
        <f>23534799-R80</f>
        <v>8816208</v>
      </c>
      <c r="V80" s="165">
        <v>0</v>
      </c>
      <c r="W80" s="170">
        <v>0.65</v>
      </c>
      <c r="X80" s="169">
        <v>970000</v>
      </c>
      <c r="Y80" s="343">
        <v>1</v>
      </c>
      <c r="Z80" s="166">
        <v>1</v>
      </c>
      <c r="AA80" s="163">
        <v>71715315</v>
      </c>
      <c r="AB80" s="171">
        <f t="shared" ref="AB80:AB105" si="36">P80+S80+V80+Y80</f>
        <v>1</v>
      </c>
      <c r="AC80" s="172">
        <f t="shared" si="35"/>
        <v>96220114</v>
      </c>
      <c r="AD80" s="173">
        <f t="shared" si="27"/>
        <v>1.77</v>
      </c>
      <c r="AE80" s="173">
        <f t="shared" si="27"/>
        <v>215194046</v>
      </c>
      <c r="AF80" s="232">
        <f t="shared" si="32"/>
        <v>177</v>
      </c>
      <c r="AG80" s="232">
        <f t="shared" si="22"/>
        <v>64.752181939600433</v>
      </c>
      <c r="AH80" s="176">
        <f>AA80-R80-U80-X80</f>
        <v>47210516</v>
      </c>
    </row>
    <row r="81" spans="1:34" ht="107.25" customHeight="1" x14ac:dyDescent="0.25">
      <c r="A81" s="76">
        <v>71</v>
      </c>
      <c r="B81" s="102"/>
      <c r="C81" s="102"/>
      <c r="D81" s="156"/>
      <c r="E81" s="156"/>
      <c r="F81" s="157"/>
      <c r="G81" s="253" t="s">
        <v>189</v>
      </c>
      <c r="H81" s="158" t="s">
        <v>190</v>
      </c>
      <c r="I81" s="159" t="s">
        <v>45</v>
      </c>
      <c r="J81" s="255">
        <v>1</v>
      </c>
      <c r="K81" s="255">
        <v>135749380</v>
      </c>
      <c r="L81" s="162">
        <v>0.83</v>
      </c>
      <c r="M81" s="163">
        <v>105851000</v>
      </c>
      <c r="N81" s="164">
        <v>1</v>
      </c>
      <c r="O81" s="351">
        <v>25738420</v>
      </c>
      <c r="P81" s="327">
        <v>0</v>
      </c>
      <c r="Q81" s="352">
        <v>0.3</v>
      </c>
      <c r="R81" s="259">
        <v>0</v>
      </c>
      <c r="S81" s="327">
        <v>0</v>
      </c>
      <c r="T81" s="267">
        <v>0.4</v>
      </c>
      <c r="U81" s="269">
        <v>4425000</v>
      </c>
      <c r="V81" s="165">
        <v>0</v>
      </c>
      <c r="W81" s="170">
        <v>0.7</v>
      </c>
      <c r="X81" s="260">
        <v>0</v>
      </c>
      <c r="Y81" s="343">
        <v>1</v>
      </c>
      <c r="Z81" s="166">
        <v>1</v>
      </c>
      <c r="AA81" s="270">
        <v>12207000</v>
      </c>
      <c r="AB81" s="171">
        <f t="shared" si="36"/>
        <v>1</v>
      </c>
      <c r="AC81" s="353">
        <f t="shared" si="35"/>
        <v>16632000</v>
      </c>
      <c r="AD81" s="173">
        <f t="shared" si="27"/>
        <v>1.83</v>
      </c>
      <c r="AE81" s="173">
        <f t="shared" si="27"/>
        <v>122483000</v>
      </c>
      <c r="AF81" s="232">
        <f t="shared" si="32"/>
        <v>183</v>
      </c>
      <c r="AG81" s="232">
        <f t="shared" si="22"/>
        <v>90.227299748993332</v>
      </c>
      <c r="AH81" s="187">
        <f>AA81-R81-U81-X81</f>
        <v>7782000</v>
      </c>
    </row>
    <row r="82" spans="1:34" s="234" customFormat="1" ht="114.75" hidden="1" customHeight="1" x14ac:dyDescent="0.25">
      <c r="A82" s="101">
        <v>72</v>
      </c>
      <c r="B82" s="102"/>
      <c r="C82" s="102"/>
      <c r="D82" s="177"/>
      <c r="E82" s="177"/>
      <c r="F82" s="157"/>
      <c r="G82" s="253" t="s">
        <v>191</v>
      </c>
      <c r="H82" s="158" t="s">
        <v>192</v>
      </c>
      <c r="I82" s="159" t="s">
        <v>56</v>
      </c>
      <c r="J82" s="255">
        <v>0</v>
      </c>
      <c r="K82" s="255">
        <v>0</v>
      </c>
      <c r="L82" s="162">
        <v>1</v>
      </c>
      <c r="M82" s="354">
        <v>15211000</v>
      </c>
      <c r="N82" s="219">
        <v>0</v>
      </c>
      <c r="O82" s="355">
        <v>0</v>
      </c>
      <c r="P82" s="327">
        <f t="shared" si="30"/>
        <v>0</v>
      </c>
      <c r="Q82" s="312">
        <v>0</v>
      </c>
      <c r="R82" s="356">
        <v>0</v>
      </c>
      <c r="S82" s="327">
        <f t="shared" si="33"/>
        <v>0</v>
      </c>
      <c r="T82" s="267">
        <v>0</v>
      </c>
      <c r="U82" s="357">
        <v>0</v>
      </c>
      <c r="V82" s="165">
        <f t="shared" si="23"/>
        <v>0</v>
      </c>
      <c r="W82" s="295">
        <v>0</v>
      </c>
      <c r="X82" s="358">
        <v>0</v>
      </c>
      <c r="Y82" s="343">
        <v>1</v>
      </c>
      <c r="Z82" s="296">
        <v>0</v>
      </c>
      <c r="AA82" s="359"/>
      <c r="AB82" s="219">
        <f t="shared" si="36"/>
        <v>1</v>
      </c>
      <c r="AC82" s="360">
        <f t="shared" si="35"/>
        <v>0</v>
      </c>
      <c r="AD82" s="173">
        <f t="shared" si="27"/>
        <v>2</v>
      </c>
      <c r="AE82" s="173">
        <f t="shared" si="27"/>
        <v>15211000</v>
      </c>
      <c r="AF82" s="173" t="e">
        <f t="shared" si="32"/>
        <v>#DIV/0!</v>
      </c>
      <c r="AG82" s="232" t="e">
        <f t="shared" si="22"/>
        <v>#DIV/0!</v>
      </c>
    </row>
    <row r="83" spans="1:34" ht="78" customHeight="1" x14ac:dyDescent="0.25">
      <c r="A83" s="76">
        <v>73</v>
      </c>
      <c r="B83" s="102"/>
      <c r="C83" s="102"/>
      <c r="D83" s="156"/>
      <c r="E83" s="156"/>
      <c r="F83" s="157"/>
      <c r="G83" s="158" t="s">
        <v>193</v>
      </c>
      <c r="H83" s="158" t="s">
        <v>194</v>
      </c>
      <c r="I83" s="159" t="s">
        <v>56</v>
      </c>
      <c r="J83" s="160">
        <v>1</v>
      </c>
      <c r="K83" s="161">
        <v>45604073</v>
      </c>
      <c r="L83" s="162">
        <v>1</v>
      </c>
      <c r="M83" s="163">
        <v>22713000</v>
      </c>
      <c r="N83" s="164">
        <v>1</v>
      </c>
      <c r="O83" s="164">
        <v>39281614</v>
      </c>
      <c r="P83" s="327">
        <v>0</v>
      </c>
      <c r="Q83" s="350">
        <v>0.1</v>
      </c>
      <c r="R83" s="167">
        <v>1300000</v>
      </c>
      <c r="S83" s="327">
        <v>0</v>
      </c>
      <c r="T83" s="179">
        <v>0.4</v>
      </c>
      <c r="U83" s="169">
        <f>2600000-R83</f>
        <v>1300000</v>
      </c>
      <c r="V83" s="165">
        <v>0</v>
      </c>
      <c r="W83" s="170">
        <v>0.65</v>
      </c>
      <c r="X83" s="169"/>
      <c r="Y83" s="343">
        <v>1</v>
      </c>
      <c r="Z83" s="166">
        <v>1</v>
      </c>
      <c r="AA83" s="163">
        <v>17335000</v>
      </c>
      <c r="AB83" s="171">
        <f t="shared" si="36"/>
        <v>1</v>
      </c>
      <c r="AC83" s="172">
        <f t="shared" si="35"/>
        <v>19935000</v>
      </c>
      <c r="AD83" s="173">
        <f t="shared" si="27"/>
        <v>2</v>
      </c>
      <c r="AE83" s="173">
        <f t="shared" si="27"/>
        <v>42648000</v>
      </c>
      <c r="AF83" s="173">
        <f t="shared" si="32"/>
        <v>200</v>
      </c>
      <c r="AG83" s="232">
        <f t="shared" si="22"/>
        <v>93.517962748634318</v>
      </c>
      <c r="AH83" s="176">
        <f>AA83-R83-U83-X83</f>
        <v>14735000</v>
      </c>
    </row>
    <row r="84" spans="1:34" s="154" customFormat="1" ht="100.5" customHeight="1" x14ac:dyDescent="0.25">
      <c r="A84" s="101">
        <v>74</v>
      </c>
      <c r="B84" s="102"/>
      <c r="C84" s="102"/>
      <c r="D84" s="177"/>
      <c r="E84" s="177"/>
      <c r="F84" s="191"/>
      <c r="G84" s="192" t="s">
        <v>195</v>
      </c>
      <c r="H84" s="192" t="s">
        <v>196</v>
      </c>
      <c r="I84" s="193" t="s">
        <v>28</v>
      </c>
      <c r="J84" s="194">
        <v>100</v>
      </c>
      <c r="K84" s="308">
        <f>SUM(K85:K88)</f>
        <v>943137271</v>
      </c>
      <c r="L84" s="196">
        <v>66</v>
      </c>
      <c r="M84" s="308">
        <f>SUM(M85:M88)</f>
        <v>576629319</v>
      </c>
      <c r="N84" s="195">
        <v>100</v>
      </c>
      <c r="O84" s="195">
        <f>SUM(O85:O88)</f>
        <v>736384109</v>
      </c>
      <c r="P84" s="310">
        <f t="shared" si="30"/>
        <v>5.0000000000000009</v>
      </c>
      <c r="Q84" s="200">
        <f>AVERAGE(Q85,Q87,Q88)</f>
        <v>5.000000000000001E-2</v>
      </c>
      <c r="R84" s="195">
        <f>SUM(R85:R88)</f>
        <v>20864000</v>
      </c>
      <c r="S84" s="202">
        <f>T84*N84-P84</f>
        <v>21.666666666666668</v>
      </c>
      <c r="T84" s="200">
        <f>AVERAGE(T85,T87,T88)</f>
        <v>0.26666666666666666</v>
      </c>
      <c r="U84" s="195">
        <f>SUM(U85:U87:U88)</f>
        <v>29350686</v>
      </c>
      <c r="V84" s="202">
        <f t="shared" si="23"/>
        <v>30.000000000000011</v>
      </c>
      <c r="W84" s="200">
        <f>AVERAGE(W85,W87,W88)</f>
        <v>0.56666666666666676</v>
      </c>
      <c r="X84" s="195">
        <f>SUM(X85:X88)</f>
        <v>137688449</v>
      </c>
      <c r="Y84" s="202">
        <f>Z84*N84-P84-S84-V84</f>
        <v>43.333333333333314</v>
      </c>
      <c r="Z84" s="200">
        <f>AVERAGE(Z85,Z87,Z88)</f>
        <v>1</v>
      </c>
      <c r="AA84" s="195">
        <f>SUM(AA85,AA87:AA88)</f>
        <v>407900907</v>
      </c>
      <c r="AB84" s="150">
        <f t="shared" si="36"/>
        <v>100</v>
      </c>
      <c r="AC84" s="204">
        <f>SUM(AC85:AC88)</f>
        <v>595804042</v>
      </c>
      <c r="AD84" s="152">
        <f t="shared" si="27"/>
        <v>166</v>
      </c>
      <c r="AE84" s="152">
        <f t="shared" si="27"/>
        <v>1172433361</v>
      </c>
      <c r="AF84" s="244">
        <f t="shared" si="32"/>
        <v>166</v>
      </c>
      <c r="AG84" s="244">
        <f t="shared" si="22"/>
        <v>124.31205902369646</v>
      </c>
    </row>
    <row r="85" spans="1:34" customFormat="1" ht="112.5" customHeight="1" x14ac:dyDescent="0.25">
      <c r="A85" s="76">
        <v>75</v>
      </c>
      <c r="B85" s="102"/>
      <c r="C85" s="102"/>
      <c r="D85" s="156"/>
      <c r="E85" s="156"/>
      <c r="F85" s="157"/>
      <c r="G85" s="287" t="s">
        <v>197</v>
      </c>
      <c r="H85" s="158" t="s">
        <v>198</v>
      </c>
      <c r="I85" s="159" t="s">
        <v>45</v>
      </c>
      <c r="J85" s="160">
        <v>5</v>
      </c>
      <c r="K85" s="354">
        <v>178007226</v>
      </c>
      <c r="L85" s="162">
        <v>0.92</v>
      </c>
      <c r="M85" s="351">
        <v>153450486</v>
      </c>
      <c r="N85" s="164">
        <v>5</v>
      </c>
      <c r="O85" s="351">
        <v>171568961</v>
      </c>
      <c r="P85" s="327">
        <f t="shared" si="30"/>
        <v>0.25</v>
      </c>
      <c r="Q85" s="179">
        <v>0.05</v>
      </c>
      <c r="R85" s="360">
        <v>0</v>
      </c>
      <c r="S85" s="327">
        <f t="shared" ref="S85:S105" si="37">T85*N85-P85</f>
        <v>1.25</v>
      </c>
      <c r="T85" s="179">
        <v>0.3</v>
      </c>
      <c r="U85" s="260">
        <v>3966686</v>
      </c>
      <c r="V85" s="165">
        <f t="shared" si="23"/>
        <v>1.5</v>
      </c>
      <c r="W85" s="170">
        <v>0.6</v>
      </c>
      <c r="X85" s="269">
        <v>92374400</v>
      </c>
      <c r="Y85" s="165">
        <f>Z85*N85-P85-S85-V85</f>
        <v>2</v>
      </c>
      <c r="Z85" s="166">
        <v>1</v>
      </c>
      <c r="AA85" s="270">
        <v>52002875</v>
      </c>
      <c r="AB85" s="171">
        <f t="shared" si="36"/>
        <v>5</v>
      </c>
      <c r="AC85" s="172">
        <f>R85+U85+X85+AA85</f>
        <v>148343961</v>
      </c>
      <c r="AD85" s="173">
        <f t="shared" si="27"/>
        <v>5.92</v>
      </c>
      <c r="AE85" s="173">
        <f t="shared" si="27"/>
        <v>301794447</v>
      </c>
      <c r="AF85" s="173">
        <f t="shared" si="32"/>
        <v>118.39999999999999</v>
      </c>
      <c r="AG85" s="232">
        <f t="shared" si="22"/>
        <v>169.54055955009377</v>
      </c>
      <c r="AH85" s="361">
        <f>AA85-R85-U85-X85</f>
        <v>-44338211</v>
      </c>
    </row>
    <row r="86" spans="1:34" customFormat="1" ht="112.5" hidden="1" customHeight="1" x14ac:dyDescent="0.25">
      <c r="A86" s="101">
        <v>76</v>
      </c>
      <c r="B86" s="102"/>
      <c r="C86" s="102"/>
      <c r="D86" s="177"/>
      <c r="E86" s="177"/>
      <c r="F86" s="157"/>
      <c r="G86" s="287" t="s">
        <v>199</v>
      </c>
      <c r="H86" s="158" t="s">
        <v>200</v>
      </c>
      <c r="I86" s="159" t="s">
        <v>56</v>
      </c>
      <c r="J86" s="160">
        <v>1</v>
      </c>
      <c r="K86" s="354">
        <v>355693108</v>
      </c>
      <c r="L86" s="162">
        <v>0</v>
      </c>
      <c r="M86" s="162">
        <v>0</v>
      </c>
      <c r="N86" s="162">
        <v>0</v>
      </c>
      <c r="O86" s="162">
        <v>0</v>
      </c>
      <c r="P86" s="162">
        <v>0</v>
      </c>
      <c r="Q86" s="162">
        <v>0</v>
      </c>
      <c r="R86" s="162">
        <v>0</v>
      </c>
      <c r="S86" s="162">
        <v>0</v>
      </c>
      <c r="T86" s="162">
        <v>0</v>
      </c>
      <c r="U86" s="162">
        <v>0</v>
      </c>
      <c r="V86" s="162">
        <v>0</v>
      </c>
      <c r="W86" s="162">
        <v>0</v>
      </c>
      <c r="X86" s="162">
        <v>0</v>
      </c>
      <c r="Y86" s="165">
        <f t="shared" ref="Y86:Y87" si="38">Z86*N86-P86-S86-V86</f>
        <v>0</v>
      </c>
      <c r="Z86" s="162">
        <v>0</v>
      </c>
      <c r="AA86" s="162"/>
      <c r="AB86" s="162">
        <v>0</v>
      </c>
      <c r="AC86" s="162">
        <v>0</v>
      </c>
      <c r="AD86" s="162">
        <v>0</v>
      </c>
      <c r="AE86" s="162">
        <v>0</v>
      </c>
      <c r="AF86" s="162">
        <v>0</v>
      </c>
      <c r="AG86" s="162">
        <v>0</v>
      </c>
      <c r="AH86" s="234"/>
    </row>
    <row r="87" spans="1:34" customFormat="1" ht="73.5" customHeight="1" x14ac:dyDescent="0.25">
      <c r="A87" s="76">
        <v>77</v>
      </c>
      <c r="B87" s="102"/>
      <c r="C87" s="102"/>
      <c r="D87" s="156"/>
      <c r="E87" s="156"/>
      <c r="F87" s="157"/>
      <c r="G87" s="287" t="s">
        <v>201</v>
      </c>
      <c r="H87" s="158" t="s">
        <v>202</v>
      </c>
      <c r="I87" s="159" t="s">
        <v>56</v>
      </c>
      <c r="J87" s="160">
        <v>2</v>
      </c>
      <c r="K87" s="354">
        <v>150851746</v>
      </c>
      <c r="L87" s="162">
        <v>0.82999999999999985</v>
      </c>
      <c r="M87" s="351">
        <v>133260889</v>
      </c>
      <c r="N87" s="164">
        <v>1</v>
      </c>
      <c r="O87" s="351">
        <v>217515650</v>
      </c>
      <c r="P87" s="216">
        <v>0</v>
      </c>
      <c r="Q87" s="179">
        <v>0</v>
      </c>
      <c r="R87" s="268">
        <v>12000000</v>
      </c>
      <c r="S87" s="327">
        <v>0</v>
      </c>
      <c r="T87" s="179">
        <v>0.3</v>
      </c>
      <c r="U87" s="260">
        <f>24000000-R87</f>
        <v>12000000</v>
      </c>
      <c r="V87" s="165">
        <v>0</v>
      </c>
      <c r="W87" s="170">
        <v>0.5</v>
      </c>
      <c r="X87" s="269">
        <v>18000000</v>
      </c>
      <c r="Y87" s="165">
        <f t="shared" si="38"/>
        <v>1</v>
      </c>
      <c r="Z87" s="166">
        <v>1</v>
      </c>
      <c r="AA87" s="270">
        <v>153993871</v>
      </c>
      <c r="AB87" s="171">
        <f t="shared" si="36"/>
        <v>1</v>
      </c>
      <c r="AC87" s="172">
        <f>R87+U87+X87+AA87</f>
        <v>195993871</v>
      </c>
      <c r="AD87" s="173">
        <f t="shared" si="27"/>
        <v>1.8299999999999998</v>
      </c>
      <c r="AE87" s="173">
        <f t="shared" si="27"/>
        <v>329254760</v>
      </c>
      <c r="AF87" s="232">
        <f t="shared" si="32"/>
        <v>91.499999999999986</v>
      </c>
      <c r="AG87" s="232">
        <f t="shared" si="22"/>
        <v>218.26380451705214</v>
      </c>
      <c r="AH87" s="233">
        <f>AA87-R87-U87-X87</f>
        <v>111993871</v>
      </c>
    </row>
    <row r="88" spans="1:34" customFormat="1" ht="111.75" customHeight="1" x14ac:dyDescent="0.25">
      <c r="A88" s="362">
        <v>78</v>
      </c>
      <c r="B88" s="102"/>
      <c r="C88" s="102"/>
      <c r="D88" s="363"/>
      <c r="E88" s="363"/>
      <c r="F88" s="364"/>
      <c r="G88" s="365" t="s">
        <v>203</v>
      </c>
      <c r="H88" s="366" t="s">
        <v>204</v>
      </c>
      <c r="I88" s="367" t="s">
        <v>45</v>
      </c>
      <c r="J88" s="368">
        <v>1</v>
      </c>
      <c r="K88" s="369">
        <v>258585191</v>
      </c>
      <c r="L88" s="370">
        <v>0.89999999999999991</v>
      </c>
      <c r="M88" s="371">
        <v>289917944</v>
      </c>
      <c r="N88" s="372">
        <v>1</v>
      </c>
      <c r="O88" s="371">
        <v>347299498</v>
      </c>
      <c r="P88" s="373">
        <v>0</v>
      </c>
      <c r="Q88" s="374">
        <v>0.1</v>
      </c>
      <c r="R88" s="375">
        <v>8864000</v>
      </c>
      <c r="S88" s="373">
        <v>0</v>
      </c>
      <c r="T88" s="374">
        <v>0.2</v>
      </c>
      <c r="U88" s="376">
        <f>22248000-R88</f>
        <v>13384000</v>
      </c>
      <c r="V88" s="377">
        <v>0</v>
      </c>
      <c r="W88" s="378">
        <v>0.6</v>
      </c>
      <c r="X88" s="379">
        <v>27314049</v>
      </c>
      <c r="Y88" s="165">
        <v>1</v>
      </c>
      <c r="Z88" s="166">
        <v>1</v>
      </c>
      <c r="AA88" s="380">
        <v>201904161</v>
      </c>
      <c r="AB88" s="381">
        <f t="shared" si="36"/>
        <v>1</v>
      </c>
      <c r="AC88" s="382">
        <f>R88+U88+X88+AA88</f>
        <v>251466210</v>
      </c>
      <c r="AD88" s="383">
        <f t="shared" si="27"/>
        <v>1.9</v>
      </c>
      <c r="AE88" s="383">
        <f t="shared" si="27"/>
        <v>541384154</v>
      </c>
      <c r="AF88" s="383">
        <f t="shared" si="32"/>
        <v>190</v>
      </c>
      <c r="AG88" s="384">
        <f t="shared" si="22"/>
        <v>209.36394381532853</v>
      </c>
      <c r="AH88" s="233">
        <f>AA88-R88-U88-X88</f>
        <v>152342112</v>
      </c>
    </row>
    <row r="89" spans="1:34" customFormat="1" ht="111.75" hidden="1" customHeight="1" x14ac:dyDescent="0.25">
      <c r="A89" s="385">
        <v>79</v>
      </c>
      <c r="B89" s="102"/>
      <c r="C89" s="102"/>
      <c r="D89" s="78"/>
      <c r="E89" s="78"/>
      <c r="F89" s="386"/>
      <c r="G89" s="387" t="s">
        <v>205</v>
      </c>
      <c r="H89" s="332" t="s">
        <v>206</v>
      </c>
      <c r="I89" s="333" t="s">
        <v>56</v>
      </c>
      <c r="J89" s="388">
        <v>1</v>
      </c>
      <c r="K89" s="336">
        <v>39430349</v>
      </c>
      <c r="L89" s="335">
        <v>0</v>
      </c>
      <c r="M89" s="335">
        <v>0</v>
      </c>
      <c r="N89" s="335">
        <v>0</v>
      </c>
      <c r="O89" s="335">
        <v>0</v>
      </c>
      <c r="P89" s="335">
        <v>0</v>
      </c>
      <c r="Q89" s="335">
        <v>0</v>
      </c>
      <c r="R89" s="335">
        <v>0</v>
      </c>
      <c r="S89" s="335">
        <v>0</v>
      </c>
      <c r="T89" s="335">
        <v>0</v>
      </c>
      <c r="U89" s="335">
        <v>0</v>
      </c>
      <c r="V89" s="335">
        <v>0</v>
      </c>
      <c r="W89" s="335">
        <v>0</v>
      </c>
      <c r="X89" s="335">
        <v>0</v>
      </c>
      <c r="Y89" s="335"/>
      <c r="Z89" s="335"/>
      <c r="AA89" s="335"/>
      <c r="AB89" s="335">
        <v>0</v>
      </c>
      <c r="AC89" s="335">
        <v>0</v>
      </c>
      <c r="AD89" s="335">
        <v>0</v>
      </c>
      <c r="AE89" s="335">
        <v>0</v>
      </c>
      <c r="AF89" s="335">
        <v>0</v>
      </c>
      <c r="AG89" s="335">
        <v>0</v>
      </c>
      <c r="AH89" s="234"/>
    </row>
    <row r="90" spans="1:34" customFormat="1" ht="111.75" hidden="1" customHeight="1" x14ac:dyDescent="0.25">
      <c r="A90" s="101">
        <v>80</v>
      </c>
      <c r="B90" s="102"/>
      <c r="C90" s="102"/>
      <c r="D90" s="177"/>
      <c r="E90" s="177"/>
      <c r="F90" s="157"/>
      <c r="G90" s="287" t="s">
        <v>207</v>
      </c>
      <c r="H90" s="158" t="s">
        <v>208</v>
      </c>
      <c r="I90" s="333" t="s">
        <v>56</v>
      </c>
      <c r="J90" s="388">
        <v>1</v>
      </c>
      <c r="K90" s="336">
        <v>46485856</v>
      </c>
      <c r="L90" s="335">
        <v>0</v>
      </c>
      <c r="M90" s="335">
        <v>0</v>
      </c>
      <c r="N90" s="335">
        <v>0</v>
      </c>
      <c r="O90" s="335">
        <v>0</v>
      </c>
      <c r="P90" s="335">
        <v>0</v>
      </c>
      <c r="Q90" s="335">
        <v>0</v>
      </c>
      <c r="R90" s="335">
        <v>0</v>
      </c>
      <c r="S90" s="335">
        <v>0</v>
      </c>
      <c r="T90" s="335">
        <v>0</v>
      </c>
      <c r="U90" s="335">
        <v>0</v>
      </c>
      <c r="V90" s="335">
        <v>0</v>
      </c>
      <c r="W90" s="335">
        <v>0</v>
      </c>
      <c r="X90" s="335">
        <v>0</v>
      </c>
      <c r="Y90" s="335"/>
      <c r="Z90" s="335"/>
      <c r="AA90" s="335"/>
      <c r="AB90" s="335">
        <v>0</v>
      </c>
      <c r="AC90" s="335">
        <v>0</v>
      </c>
      <c r="AD90" s="335">
        <v>0</v>
      </c>
      <c r="AE90" s="335">
        <v>0</v>
      </c>
      <c r="AF90" s="335">
        <v>0</v>
      </c>
      <c r="AG90" s="335">
        <v>0</v>
      </c>
      <c r="AH90" s="234"/>
    </row>
    <row r="91" spans="1:34" s="403" customFormat="1" ht="43.5" customHeight="1" x14ac:dyDescent="0.25">
      <c r="A91" s="76">
        <v>81</v>
      </c>
      <c r="B91" s="102"/>
      <c r="C91" s="102"/>
      <c r="D91" s="156"/>
      <c r="E91" s="156"/>
      <c r="F91" s="389"/>
      <c r="G91" s="105" t="s">
        <v>209</v>
      </c>
      <c r="H91" s="390"/>
      <c r="I91" s="106"/>
      <c r="J91" s="391">
        <v>90</v>
      </c>
      <c r="K91" s="392">
        <f>SUM(K92)</f>
        <v>122244006</v>
      </c>
      <c r="L91" s="393">
        <v>90</v>
      </c>
      <c r="M91" s="392">
        <f>SUM(M92)</f>
        <v>68318400</v>
      </c>
      <c r="N91" s="392">
        <v>90</v>
      </c>
      <c r="O91" s="392">
        <f>SUM(O92)</f>
        <v>94133080</v>
      </c>
      <c r="P91" s="394"/>
      <c r="Q91" s="395"/>
      <c r="R91" s="396">
        <f>SUM(R92)</f>
        <v>0</v>
      </c>
      <c r="S91" s="397"/>
      <c r="T91" s="395"/>
      <c r="U91" s="398">
        <f>SUM(U92)</f>
        <v>0</v>
      </c>
      <c r="V91" s="397"/>
      <c r="W91" s="399"/>
      <c r="X91" s="398">
        <f>SUM(X92)</f>
        <v>0</v>
      </c>
      <c r="Y91" s="394"/>
      <c r="Z91" s="400"/>
      <c r="AA91" s="398">
        <f>SUM(AA92)</f>
        <v>39169000</v>
      </c>
      <c r="AB91" s="117"/>
      <c r="AC91" s="401">
        <f>SUM(AC92)</f>
        <v>39169000</v>
      </c>
      <c r="AD91" s="402">
        <f t="shared" si="27"/>
        <v>90</v>
      </c>
      <c r="AE91" s="120">
        <f t="shared" si="27"/>
        <v>107487400</v>
      </c>
      <c r="AF91" s="120">
        <f t="shared" si="32"/>
        <v>100</v>
      </c>
      <c r="AG91" s="121">
        <f t="shared" si="22"/>
        <v>87.928564775601345</v>
      </c>
    </row>
    <row r="92" spans="1:34" s="307" customFormat="1" ht="84" customHeight="1" x14ac:dyDescent="0.25">
      <c r="A92" s="101">
        <v>82</v>
      </c>
      <c r="B92" s="102"/>
      <c r="C92" s="102"/>
      <c r="D92" s="177"/>
      <c r="E92" s="177"/>
      <c r="F92" s="404"/>
      <c r="G92" s="405" t="s">
        <v>210</v>
      </c>
      <c r="H92" s="405" t="s">
        <v>211</v>
      </c>
      <c r="I92" s="406" t="s">
        <v>28</v>
      </c>
      <c r="J92" s="407">
        <v>100</v>
      </c>
      <c r="K92" s="408">
        <f>SUM(K93)</f>
        <v>122244006</v>
      </c>
      <c r="L92" s="408">
        <v>83</v>
      </c>
      <c r="M92" s="408">
        <f>SUM(M93)</f>
        <v>68318400</v>
      </c>
      <c r="N92" s="408">
        <v>100</v>
      </c>
      <c r="O92" s="408">
        <f>SUM(O93)</f>
        <v>94133080</v>
      </c>
      <c r="P92" s="409">
        <f>Q92*N92</f>
        <v>0</v>
      </c>
      <c r="Q92" s="410">
        <f>AVERAGE(Q93)</f>
        <v>0</v>
      </c>
      <c r="R92" s="411">
        <f>SUM(R93)</f>
        <v>0</v>
      </c>
      <c r="S92" s="409">
        <f t="shared" si="37"/>
        <v>30</v>
      </c>
      <c r="T92" s="410">
        <f>AVERAGE(T93)</f>
        <v>0.3</v>
      </c>
      <c r="U92" s="412">
        <f>SUM(U93)</f>
        <v>0</v>
      </c>
      <c r="V92" s="409">
        <f t="shared" si="23"/>
        <v>45</v>
      </c>
      <c r="W92" s="413">
        <f>AVERAGE(W93)</f>
        <v>0.75</v>
      </c>
      <c r="X92" s="412">
        <f>SUM(X93)</f>
        <v>0</v>
      </c>
      <c r="Y92" s="409">
        <f>Z92*N93-P92-S92-V92</f>
        <v>25</v>
      </c>
      <c r="Z92" s="413">
        <f>AVERAGE(Z93)</f>
        <v>1</v>
      </c>
      <c r="AA92" s="412">
        <f>SUM(AA93)</f>
        <v>39169000</v>
      </c>
      <c r="AB92" s="133">
        <f t="shared" si="36"/>
        <v>100</v>
      </c>
      <c r="AC92" s="408">
        <f>SUM(AC93)</f>
        <v>39169000</v>
      </c>
      <c r="AD92" s="134">
        <f t="shared" si="27"/>
        <v>183</v>
      </c>
      <c r="AE92" s="134">
        <f t="shared" si="27"/>
        <v>107487400</v>
      </c>
      <c r="AF92" s="414">
        <f t="shared" si="32"/>
        <v>183</v>
      </c>
      <c r="AG92" s="414">
        <f t="shared" si="22"/>
        <v>87.928564775601345</v>
      </c>
    </row>
    <row r="93" spans="1:34" s="154" customFormat="1" ht="63.75" x14ac:dyDescent="0.25">
      <c r="A93" s="76">
        <v>83</v>
      </c>
      <c r="B93" s="102"/>
      <c r="C93" s="102"/>
      <c r="D93" s="156"/>
      <c r="E93" s="156"/>
      <c r="F93" s="191"/>
      <c r="G93" s="192" t="s">
        <v>212</v>
      </c>
      <c r="H93" s="192" t="s">
        <v>213</v>
      </c>
      <c r="I93" s="193" t="s">
        <v>28</v>
      </c>
      <c r="J93" s="194">
        <v>100</v>
      </c>
      <c r="K93" s="195">
        <f>SUM(K94:K95)</f>
        <v>122244006</v>
      </c>
      <c r="L93" s="195">
        <v>93</v>
      </c>
      <c r="M93" s="195">
        <f>SUM(M94:M95)</f>
        <v>68318400</v>
      </c>
      <c r="N93" s="195">
        <v>100</v>
      </c>
      <c r="O93" s="195">
        <f>SUM(O94:O95)</f>
        <v>94133080</v>
      </c>
      <c r="P93" s="316">
        <f>Q93*N93</f>
        <v>0</v>
      </c>
      <c r="Q93" s="200">
        <f>AVERAGE(Q94:Q95)</f>
        <v>0</v>
      </c>
      <c r="R93" s="212">
        <f>SUM(R94:R95)</f>
        <v>0</v>
      </c>
      <c r="S93" s="202">
        <f t="shared" si="37"/>
        <v>30</v>
      </c>
      <c r="T93" s="200">
        <f>AVERAGE(T94:T95)</f>
        <v>0.3</v>
      </c>
      <c r="U93" s="201">
        <f>SUM(U94:U95)</f>
        <v>0</v>
      </c>
      <c r="V93" s="202">
        <f t="shared" si="23"/>
        <v>45</v>
      </c>
      <c r="W93" s="203">
        <f>AVERAGE(W94:W95)</f>
        <v>0.75</v>
      </c>
      <c r="X93" s="201">
        <f>SUM(X94:X95)</f>
        <v>0</v>
      </c>
      <c r="Y93" s="202">
        <f>Z93*N93-P93-S93-V93</f>
        <v>25</v>
      </c>
      <c r="Z93" s="203">
        <f>AVERAGE(Z94:Z95)</f>
        <v>1</v>
      </c>
      <c r="AA93" s="201">
        <f>SUM(AA94:AA95)</f>
        <v>39169000</v>
      </c>
      <c r="AB93" s="150">
        <f t="shared" si="36"/>
        <v>100</v>
      </c>
      <c r="AC93" s="195">
        <f>SUM(AC94:AC95)</f>
        <v>39169000</v>
      </c>
      <c r="AD93" s="152">
        <f t="shared" si="27"/>
        <v>193</v>
      </c>
      <c r="AE93" s="152">
        <f t="shared" si="27"/>
        <v>107487400</v>
      </c>
      <c r="AF93" s="244">
        <f t="shared" si="32"/>
        <v>193</v>
      </c>
      <c r="AG93" s="244">
        <f t="shared" si="22"/>
        <v>87.928564775601345</v>
      </c>
    </row>
    <row r="94" spans="1:34" ht="55.5" customHeight="1" x14ac:dyDescent="0.25">
      <c r="A94" s="101">
        <v>84</v>
      </c>
      <c r="B94" s="102"/>
      <c r="C94" s="102"/>
      <c r="D94" s="177"/>
      <c r="E94" s="177"/>
      <c r="F94" s="157"/>
      <c r="G94" s="158" t="s">
        <v>214</v>
      </c>
      <c r="H94" s="158" t="s">
        <v>215</v>
      </c>
      <c r="I94" s="159" t="s">
        <v>45</v>
      </c>
      <c r="J94" s="160">
        <v>2</v>
      </c>
      <c r="K94" s="161">
        <v>61251273</v>
      </c>
      <c r="L94" s="162">
        <v>1.84</v>
      </c>
      <c r="M94" s="163">
        <v>34051100</v>
      </c>
      <c r="N94" s="164">
        <v>2</v>
      </c>
      <c r="O94" s="164">
        <v>46830540</v>
      </c>
      <c r="P94" s="218">
        <f>Q94*N94</f>
        <v>0</v>
      </c>
      <c r="Q94" s="179">
        <v>0</v>
      </c>
      <c r="R94" s="180">
        <v>0</v>
      </c>
      <c r="S94" s="327">
        <f t="shared" si="37"/>
        <v>0.6</v>
      </c>
      <c r="T94" s="179">
        <v>0.3</v>
      </c>
      <c r="U94" s="169">
        <v>0</v>
      </c>
      <c r="V94" s="165">
        <f t="shared" si="23"/>
        <v>0.4</v>
      </c>
      <c r="W94" s="170">
        <v>0.5</v>
      </c>
      <c r="X94" s="169">
        <v>0</v>
      </c>
      <c r="Y94" s="165">
        <f>Z94*N94-P94-S94-V94</f>
        <v>0.99999999999999989</v>
      </c>
      <c r="Z94" s="166">
        <v>1</v>
      </c>
      <c r="AA94" s="163">
        <v>19244000</v>
      </c>
      <c r="AB94" s="171">
        <f t="shared" si="36"/>
        <v>2</v>
      </c>
      <c r="AC94" s="184">
        <f>R94+U94+X94+AA94</f>
        <v>19244000</v>
      </c>
      <c r="AD94" s="173">
        <f t="shared" si="27"/>
        <v>3.84</v>
      </c>
      <c r="AE94" s="173">
        <f t="shared" si="27"/>
        <v>53295100</v>
      </c>
      <c r="AF94" s="232">
        <f t="shared" si="32"/>
        <v>192</v>
      </c>
      <c r="AG94" s="232">
        <f t="shared" si="22"/>
        <v>87.010599763371445</v>
      </c>
      <c r="AH94" s="16"/>
    </row>
    <row r="95" spans="1:34" ht="50.25" customHeight="1" x14ac:dyDescent="0.25">
      <c r="A95" s="76">
        <v>85</v>
      </c>
      <c r="B95" s="102"/>
      <c r="C95" s="102"/>
      <c r="D95" s="156"/>
      <c r="E95" s="156"/>
      <c r="F95" s="157"/>
      <c r="G95" s="158" t="s">
        <v>216</v>
      </c>
      <c r="H95" s="158" t="s">
        <v>217</v>
      </c>
      <c r="I95" s="159" t="s">
        <v>45</v>
      </c>
      <c r="J95" s="160">
        <v>2</v>
      </c>
      <c r="K95" s="161">
        <v>60992733</v>
      </c>
      <c r="L95" s="162">
        <v>1.86</v>
      </c>
      <c r="M95" s="163">
        <v>34267300</v>
      </c>
      <c r="N95" s="164">
        <v>2</v>
      </c>
      <c r="O95" s="164">
        <v>47302540</v>
      </c>
      <c r="P95" s="218">
        <f>Q95*N95</f>
        <v>0</v>
      </c>
      <c r="Q95" s="179">
        <v>0</v>
      </c>
      <c r="R95" s="180">
        <v>0</v>
      </c>
      <c r="S95" s="327">
        <f t="shared" si="37"/>
        <v>0.6</v>
      </c>
      <c r="T95" s="179">
        <v>0.3</v>
      </c>
      <c r="U95" s="169">
        <v>0</v>
      </c>
      <c r="V95" s="165">
        <f t="shared" si="23"/>
        <v>1.4</v>
      </c>
      <c r="W95" s="170">
        <v>1</v>
      </c>
      <c r="X95" s="169">
        <v>0</v>
      </c>
      <c r="Y95" s="165">
        <f>Z95*N95-P95-S95-V95</f>
        <v>0</v>
      </c>
      <c r="Z95" s="166">
        <v>1</v>
      </c>
      <c r="AA95" s="163">
        <v>19925000</v>
      </c>
      <c r="AB95" s="171">
        <f t="shared" si="36"/>
        <v>2</v>
      </c>
      <c r="AC95" s="184">
        <f>R95+U95+X95+AA95</f>
        <v>19925000</v>
      </c>
      <c r="AD95" s="173">
        <f t="shared" si="27"/>
        <v>3.8600000000000003</v>
      </c>
      <c r="AE95" s="173">
        <f t="shared" si="27"/>
        <v>54192300</v>
      </c>
      <c r="AF95" s="232">
        <f t="shared" si="32"/>
        <v>193.00000000000003</v>
      </c>
      <c r="AG95" s="232">
        <f t="shared" si="22"/>
        <v>88.85042091817725</v>
      </c>
      <c r="AH95" s="16"/>
    </row>
    <row r="96" spans="1:34" s="403" customFormat="1" ht="45" customHeight="1" x14ac:dyDescent="0.25">
      <c r="A96" s="101">
        <v>86</v>
      </c>
      <c r="B96" s="102"/>
      <c r="C96" s="102"/>
      <c r="D96" s="177"/>
      <c r="E96" s="177"/>
      <c r="F96" s="389"/>
      <c r="G96" s="415" t="s">
        <v>218</v>
      </c>
      <c r="H96" s="415"/>
      <c r="I96" s="416"/>
      <c r="J96" s="417">
        <v>100</v>
      </c>
      <c r="K96" s="119">
        <f>SUM(K97)</f>
        <v>1173117699</v>
      </c>
      <c r="L96" s="418">
        <v>0</v>
      </c>
      <c r="M96" s="119">
        <f>SUM(M97)</f>
        <v>922152045</v>
      </c>
      <c r="N96" s="419">
        <v>100</v>
      </c>
      <c r="O96" s="419">
        <f>SUM(O97)</f>
        <v>1232087159</v>
      </c>
      <c r="P96" s="420"/>
      <c r="Q96" s="421"/>
      <c r="R96" s="422">
        <f>SUM(R97)</f>
        <v>32763514</v>
      </c>
      <c r="S96" s="423"/>
      <c r="T96" s="421"/>
      <c r="U96" s="424">
        <f>SUM(U97)</f>
        <v>6785000</v>
      </c>
      <c r="V96" s="423"/>
      <c r="W96" s="425"/>
      <c r="X96" s="424">
        <f>SUM(X97)</f>
        <v>26272500</v>
      </c>
      <c r="Y96" s="420"/>
      <c r="Z96" s="426"/>
      <c r="AA96" s="424">
        <f>SUM(AA97)</f>
        <v>918571929</v>
      </c>
      <c r="AB96" s="427">
        <f t="shared" si="36"/>
        <v>0</v>
      </c>
      <c r="AC96" s="428">
        <f>SUM(AC97)</f>
        <v>984392943</v>
      </c>
      <c r="AD96" s="429">
        <f t="shared" si="27"/>
        <v>0</v>
      </c>
      <c r="AE96" s="119">
        <f t="shared" si="27"/>
        <v>1906544988</v>
      </c>
      <c r="AF96" s="429">
        <f t="shared" si="32"/>
        <v>0</v>
      </c>
      <c r="AG96" s="430">
        <f t="shared" si="22"/>
        <v>162.51949737227517</v>
      </c>
    </row>
    <row r="97" spans="1:34" s="307" customFormat="1" ht="99.75" customHeight="1" x14ac:dyDescent="0.25">
      <c r="A97" s="76">
        <v>87</v>
      </c>
      <c r="B97" s="102"/>
      <c r="C97" s="102"/>
      <c r="D97" s="156"/>
      <c r="E97" s="207" t="s">
        <v>36</v>
      </c>
      <c r="F97" s="431" t="s">
        <v>219</v>
      </c>
      <c r="G97" s="405" t="s">
        <v>220</v>
      </c>
      <c r="H97" s="405" t="s">
        <v>221</v>
      </c>
      <c r="I97" s="406" t="s">
        <v>28</v>
      </c>
      <c r="J97" s="407">
        <v>100</v>
      </c>
      <c r="K97" s="432">
        <f>SUM(K98+K101+K103)</f>
        <v>1173117699</v>
      </c>
      <c r="L97" s="433">
        <v>78</v>
      </c>
      <c r="M97" s="432">
        <f>SUM(M98+M101+M103)</f>
        <v>922152045</v>
      </c>
      <c r="N97" s="408">
        <v>100</v>
      </c>
      <c r="O97" s="432">
        <f>SUM(O98+O101+O103)</f>
        <v>1232087159</v>
      </c>
      <c r="P97" s="434">
        <f t="shared" ref="P97:P105" si="39">Q97*N97</f>
        <v>0</v>
      </c>
      <c r="Q97" s="410">
        <f>AVERAGE(Q98,Q101,Q103)</f>
        <v>0</v>
      </c>
      <c r="R97" s="435">
        <f>SUM(R98+R101+R103)</f>
        <v>32763514</v>
      </c>
      <c r="S97" s="409">
        <f t="shared" si="37"/>
        <v>10</v>
      </c>
      <c r="T97" s="410">
        <f>AVERAGE(T98,T101,T103)</f>
        <v>9.9999999999999992E-2</v>
      </c>
      <c r="U97" s="412">
        <f>SUM(U98+U101+U103)</f>
        <v>6785000</v>
      </c>
      <c r="V97" s="409">
        <f t="shared" ref="V97:V105" si="40">W97*N97-P97-S97</f>
        <v>33.333333333333336</v>
      </c>
      <c r="W97" s="410">
        <f>AVERAGE(W98,W101,W103)</f>
        <v>0.43333333333333335</v>
      </c>
      <c r="X97" s="412">
        <f>SUM(X98+X101+X103)</f>
        <v>26272500</v>
      </c>
      <c r="Y97" s="409">
        <f>Z97*N97-P97-S97-V97</f>
        <v>38.333333333333336</v>
      </c>
      <c r="Z97" s="410">
        <f>AVERAGE(Z98,Z101,Z103)</f>
        <v>0.81666666666666676</v>
      </c>
      <c r="AA97" s="412">
        <f>SUM(AA98+AA101+AA103)</f>
        <v>918571929</v>
      </c>
      <c r="AB97" s="133">
        <f t="shared" si="36"/>
        <v>81.666666666666671</v>
      </c>
      <c r="AC97" s="436">
        <f>SUM(AC98+AC101+AC103)</f>
        <v>984392943</v>
      </c>
      <c r="AD97" s="134">
        <f t="shared" si="27"/>
        <v>159.66666666666669</v>
      </c>
      <c r="AE97" s="134">
        <f t="shared" si="27"/>
        <v>1906544988</v>
      </c>
      <c r="AF97" s="134">
        <f t="shared" si="32"/>
        <v>159.66666666666669</v>
      </c>
      <c r="AG97" s="414">
        <f t="shared" si="22"/>
        <v>162.51949737227517</v>
      </c>
    </row>
    <row r="98" spans="1:34" s="154" customFormat="1" ht="117" customHeight="1" x14ac:dyDescent="0.25">
      <c r="A98" s="101">
        <v>88</v>
      </c>
      <c r="B98" s="102"/>
      <c r="C98" s="102"/>
      <c r="D98" s="177"/>
      <c r="E98" s="177"/>
      <c r="F98" s="191"/>
      <c r="G98" s="192" t="s">
        <v>222</v>
      </c>
      <c r="H98" s="192" t="s">
        <v>223</v>
      </c>
      <c r="I98" s="193" t="s">
        <v>28</v>
      </c>
      <c r="J98" s="194">
        <v>100</v>
      </c>
      <c r="K98" s="308">
        <f>SUM(K99:K100)</f>
        <v>661459381</v>
      </c>
      <c r="L98" s="195">
        <v>90</v>
      </c>
      <c r="M98" s="195">
        <f>SUM(M99:M100)</f>
        <v>503945745</v>
      </c>
      <c r="N98" s="195">
        <v>100</v>
      </c>
      <c r="O98" s="195">
        <f>SUM(O99:O100)</f>
        <v>919722885</v>
      </c>
      <c r="P98" s="316">
        <f t="shared" si="39"/>
        <v>0</v>
      </c>
      <c r="Q98" s="200">
        <f>AVERAGE(Q99:Q100)</f>
        <v>0</v>
      </c>
      <c r="R98" s="199">
        <f>SUM(R99:R100)</f>
        <v>25087614</v>
      </c>
      <c r="S98" s="202">
        <f t="shared" si="37"/>
        <v>15.000000000000002</v>
      </c>
      <c r="T98" s="200">
        <f>AVERAGE(T99:T100)</f>
        <v>0.15000000000000002</v>
      </c>
      <c r="U98" s="201">
        <f>SUM(U99:U100)</f>
        <v>4365000</v>
      </c>
      <c r="V98" s="202">
        <f t="shared" si="40"/>
        <v>40.000000000000007</v>
      </c>
      <c r="W98" s="203">
        <f>AVERAGE(W99:W100)</f>
        <v>0.55000000000000004</v>
      </c>
      <c r="X98" s="201">
        <f>SUM(X99:X100)</f>
        <v>3747500</v>
      </c>
      <c r="Y98" s="202">
        <f>Z98*N98-P98-S98-V98</f>
        <v>44.999999999999993</v>
      </c>
      <c r="Z98" s="203">
        <f>AVERAGE(Z99:Z100)</f>
        <v>1</v>
      </c>
      <c r="AA98" s="201">
        <f>SUM(AA99:AA100)</f>
        <v>753228529</v>
      </c>
      <c r="AB98" s="213">
        <f t="shared" si="36"/>
        <v>100</v>
      </c>
      <c r="AC98" s="204">
        <f>SUM(AC99:AC100)</f>
        <v>786428643</v>
      </c>
      <c r="AD98" s="152">
        <f t="shared" si="27"/>
        <v>190</v>
      </c>
      <c r="AE98" s="152">
        <f t="shared" si="27"/>
        <v>1290374388</v>
      </c>
      <c r="AF98" s="152">
        <f t="shared" si="32"/>
        <v>190</v>
      </c>
      <c r="AG98" s="244">
        <f t="shared" si="22"/>
        <v>195.07991345578938</v>
      </c>
    </row>
    <row r="99" spans="1:34" ht="90.75" customHeight="1" x14ac:dyDescent="0.25">
      <c r="A99" s="76">
        <v>89</v>
      </c>
      <c r="B99" s="102"/>
      <c r="C99" s="102"/>
      <c r="D99" s="156"/>
      <c r="E99" s="156"/>
      <c r="F99" s="157"/>
      <c r="G99" s="158" t="s">
        <v>224</v>
      </c>
      <c r="H99" s="158" t="s">
        <v>225</v>
      </c>
      <c r="I99" s="159" t="s">
        <v>56</v>
      </c>
      <c r="J99" s="160">
        <v>1</v>
      </c>
      <c r="K99" s="161">
        <v>621281782</v>
      </c>
      <c r="L99" s="162">
        <v>0.86</v>
      </c>
      <c r="M99" s="163">
        <v>474866045</v>
      </c>
      <c r="N99" s="164">
        <v>1</v>
      </c>
      <c r="O99" s="164">
        <v>882825520</v>
      </c>
      <c r="P99" s="218">
        <v>0</v>
      </c>
      <c r="Q99" s="179">
        <v>0</v>
      </c>
      <c r="R99" s="167">
        <v>21381014</v>
      </c>
      <c r="S99" s="327">
        <v>0</v>
      </c>
      <c r="T99" s="179">
        <v>0.1</v>
      </c>
      <c r="U99" s="169">
        <f>25221014-R99</f>
        <v>3840000</v>
      </c>
      <c r="V99" s="165">
        <v>0</v>
      </c>
      <c r="W99" s="170">
        <v>0.5</v>
      </c>
      <c r="X99" s="169">
        <v>3747500</v>
      </c>
      <c r="Y99" s="165">
        <f t="shared" ref="Y99:Y100" si="41">Z99*N99-P99-S99-V99</f>
        <v>1</v>
      </c>
      <c r="Z99" s="166">
        <v>1</v>
      </c>
      <c r="AA99" s="163">
        <v>739553529</v>
      </c>
      <c r="AB99" s="171">
        <f t="shared" si="36"/>
        <v>1</v>
      </c>
      <c r="AC99" s="172">
        <f>R99+U99+X99+AA99</f>
        <v>768522043</v>
      </c>
      <c r="AD99" s="173">
        <f t="shared" si="27"/>
        <v>1.8599999999999999</v>
      </c>
      <c r="AE99" s="173">
        <f t="shared" si="27"/>
        <v>1243388088</v>
      </c>
      <c r="AF99" s="232">
        <f t="shared" si="32"/>
        <v>186</v>
      </c>
      <c r="AG99" s="232">
        <f t="shared" si="22"/>
        <v>200.13271337159537</v>
      </c>
      <c r="AH99" s="176">
        <f>AA99-R99-U99-X99</f>
        <v>710585015</v>
      </c>
    </row>
    <row r="100" spans="1:34" ht="60" customHeight="1" x14ac:dyDescent="0.25">
      <c r="A100" s="101">
        <v>90</v>
      </c>
      <c r="B100" s="102"/>
      <c r="C100" s="102"/>
      <c r="D100" s="177"/>
      <c r="E100" s="177"/>
      <c r="F100" s="157"/>
      <c r="G100" s="158" t="s">
        <v>226</v>
      </c>
      <c r="H100" s="158" t="s">
        <v>227</v>
      </c>
      <c r="I100" s="159" t="s">
        <v>56</v>
      </c>
      <c r="J100" s="160">
        <v>1</v>
      </c>
      <c r="K100" s="161">
        <v>40177599</v>
      </c>
      <c r="L100" s="162">
        <v>0.94</v>
      </c>
      <c r="M100" s="163">
        <v>29079700</v>
      </c>
      <c r="N100" s="164">
        <v>1</v>
      </c>
      <c r="O100" s="164">
        <v>36897365</v>
      </c>
      <c r="P100" s="218">
        <v>0</v>
      </c>
      <c r="Q100" s="179">
        <v>0</v>
      </c>
      <c r="R100" s="167">
        <v>3706600</v>
      </c>
      <c r="S100" s="327">
        <v>0</v>
      </c>
      <c r="T100" s="179">
        <v>0.2</v>
      </c>
      <c r="U100" s="169">
        <f>4231600-R100</f>
        <v>525000</v>
      </c>
      <c r="V100" s="165">
        <v>0</v>
      </c>
      <c r="W100" s="170">
        <v>0.6</v>
      </c>
      <c r="X100" s="169">
        <v>0</v>
      </c>
      <c r="Y100" s="165">
        <f t="shared" si="41"/>
        <v>1</v>
      </c>
      <c r="Z100" s="166">
        <v>1</v>
      </c>
      <c r="AA100" s="163">
        <v>13675000</v>
      </c>
      <c r="AB100" s="171">
        <f t="shared" si="36"/>
        <v>1</v>
      </c>
      <c r="AC100" s="172">
        <f>R100+U100+X100+AA100</f>
        <v>17906600</v>
      </c>
      <c r="AD100" s="173">
        <f t="shared" si="27"/>
        <v>1.94</v>
      </c>
      <c r="AE100" s="173">
        <f t="shared" si="27"/>
        <v>46986300</v>
      </c>
      <c r="AF100" s="232">
        <f t="shared" si="32"/>
        <v>194</v>
      </c>
      <c r="AG100" s="232">
        <f t="shared" si="22"/>
        <v>116.94651041740947</v>
      </c>
      <c r="AH100" s="176">
        <f>AA100-R100-U100</f>
        <v>9443400</v>
      </c>
    </row>
    <row r="101" spans="1:34" s="154" customFormat="1" ht="94.5" customHeight="1" x14ac:dyDescent="0.25">
      <c r="A101" s="76">
        <v>91</v>
      </c>
      <c r="B101" s="102"/>
      <c r="C101" s="102"/>
      <c r="D101" s="156"/>
      <c r="E101" s="156"/>
      <c r="F101" s="191"/>
      <c r="G101" s="192" t="s">
        <v>228</v>
      </c>
      <c r="H101" s="192" t="s">
        <v>229</v>
      </c>
      <c r="I101" s="193" t="s">
        <v>28</v>
      </c>
      <c r="J101" s="194">
        <v>100</v>
      </c>
      <c r="K101" s="308">
        <f>SUM(K102)</f>
        <v>160478187</v>
      </c>
      <c r="L101" s="195">
        <v>80</v>
      </c>
      <c r="M101" s="195">
        <f>SUM(M102)</f>
        <v>156859400</v>
      </c>
      <c r="N101" s="195">
        <v>100</v>
      </c>
      <c r="O101" s="195">
        <f>SUM(O102)</f>
        <v>156957712</v>
      </c>
      <c r="P101" s="316">
        <f t="shared" si="39"/>
        <v>0</v>
      </c>
      <c r="Q101" s="200">
        <f>AVERAGE(Q102)</f>
        <v>0</v>
      </c>
      <c r="R101" s="199">
        <f>SUM(R102)</f>
        <v>7675900</v>
      </c>
      <c r="S101" s="202">
        <f t="shared" si="37"/>
        <v>10</v>
      </c>
      <c r="T101" s="200">
        <f>AVERAGE(T102)</f>
        <v>0.1</v>
      </c>
      <c r="U101" s="437">
        <f>SUM(U102)</f>
        <v>0</v>
      </c>
      <c r="V101" s="202">
        <f t="shared" si="40"/>
        <v>40</v>
      </c>
      <c r="W101" s="203">
        <f>AVERAGE(W102)</f>
        <v>0.5</v>
      </c>
      <c r="X101" s="437">
        <f>SUM(X102)</f>
        <v>0</v>
      </c>
      <c r="Y101" s="202">
        <f>Z101*N101-P101-S101-V101</f>
        <v>50</v>
      </c>
      <c r="Z101" s="203">
        <f>AVERAGE(Z102)</f>
        <v>1</v>
      </c>
      <c r="AA101" s="197">
        <f>SUM(AA102)</f>
        <v>128792000</v>
      </c>
      <c r="AB101" s="213">
        <f t="shared" si="36"/>
        <v>100</v>
      </c>
      <c r="AC101" s="199">
        <f>SUM(AC102)</f>
        <v>136467900</v>
      </c>
      <c r="AD101" s="152">
        <f t="shared" si="27"/>
        <v>180</v>
      </c>
      <c r="AE101" s="152">
        <f t="shared" si="27"/>
        <v>293327300</v>
      </c>
      <c r="AF101" s="152">
        <f t="shared" si="32"/>
        <v>180</v>
      </c>
      <c r="AG101" s="244">
        <f t="shared" si="22"/>
        <v>182.78328381164974</v>
      </c>
    </row>
    <row r="102" spans="1:34" s="16" customFormat="1" ht="78" customHeight="1" x14ac:dyDescent="0.25">
      <c r="A102" s="101">
        <v>92</v>
      </c>
      <c r="B102" s="102"/>
      <c r="C102" s="102"/>
      <c r="D102" s="177"/>
      <c r="E102" s="177"/>
      <c r="F102" s="157"/>
      <c r="G102" s="253" t="s">
        <v>230</v>
      </c>
      <c r="H102" s="158" t="s">
        <v>231</v>
      </c>
      <c r="I102" s="159" t="s">
        <v>45</v>
      </c>
      <c r="J102" s="160">
        <v>1</v>
      </c>
      <c r="K102" s="161">
        <v>160478187</v>
      </c>
      <c r="L102" s="162">
        <v>0.8</v>
      </c>
      <c r="M102" s="163">
        <v>156859400</v>
      </c>
      <c r="N102" s="235">
        <v>1</v>
      </c>
      <c r="O102" s="438">
        <v>156957712</v>
      </c>
      <c r="P102" s="216">
        <v>0</v>
      </c>
      <c r="Q102" s="312">
        <v>0</v>
      </c>
      <c r="R102" s="268">
        <v>7675900</v>
      </c>
      <c r="S102" s="327">
        <v>0</v>
      </c>
      <c r="T102" s="267">
        <v>0.1</v>
      </c>
      <c r="U102" s="269">
        <f>7675900-R102</f>
        <v>0</v>
      </c>
      <c r="V102" s="165">
        <v>0</v>
      </c>
      <c r="W102" s="170">
        <v>0.5</v>
      </c>
      <c r="X102" s="269">
        <v>0</v>
      </c>
      <c r="Y102" s="165">
        <f t="shared" ref="Y102" si="42">Z102*N102-P102-S102-V102</f>
        <v>1</v>
      </c>
      <c r="Z102" s="166">
        <v>1</v>
      </c>
      <c r="AA102" s="163">
        <v>128792000</v>
      </c>
      <c r="AB102" s="171">
        <f t="shared" si="36"/>
        <v>1</v>
      </c>
      <c r="AC102" s="172">
        <f>R102+U102+X102+AA102</f>
        <v>136467900</v>
      </c>
      <c r="AD102" s="173">
        <f t="shared" si="27"/>
        <v>1.8</v>
      </c>
      <c r="AE102" s="173">
        <f t="shared" si="27"/>
        <v>293327300</v>
      </c>
      <c r="AF102" s="173">
        <f t="shared" si="32"/>
        <v>180</v>
      </c>
      <c r="AG102" s="232">
        <f t="shared" si="22"/>
        <v>182.78328381164974</v>
      </c>
      <c r="AH102" s="185">
        <f>AA102-R102-U102-X102</f>
        <v>121116100</v>
      </c>
    </row>
    <row r="103" spans="1:34" s="154" customFormat="1" ht="69.75" customHeight="1" x14ac:dyDescent="0.25">
      <c r="A103" s="76">
        <v>93</v>
      </c>
      <c r="B103" s="102"/>
      <c r="C103" s="102"/>
      <c r="D103" s="156"/>
      <c r="E103" s="156"/>
      <c r="F103" s="191"/>
      <c r="G103" s="192" t="s">
        <v>232</v>
      </c>
      <c r="H103" s="192" t="s">
        <v>233</v>
      </c>
      <c r="I103" s="193" t="s">
        <v>28</v>
      </c>
      <c r="J103" s="194">
        <v>100</v>
      </c>
      <c r="K103" s="195">
        <f>SUM(K104:K105)</f>
        <v>351180131</v>
      </c>
      <c r="L103" s="195">
        <v>38</v>
      </c>
      <c r="M103" s="195">
        <f>SUM(M104:M105)</f>
        <v>261346900</v>
      </c>
      <c r="N103" s="195">
        <v>100</v>
      </c>
      <c r="O103" s="195">
        <f>SUM(O104:O105)</f>
        <v>155406562</v>
      </c>
      <c r="P103" s="316">
        <f t="shared" si="39"/>
        <v>0</v>
      </c>
      <c r="Q103" s="200">
        <f>AVERAGE(Q104:Q105)</f>
        <v>0</v>
      </c>
      <c r="R103" s="212">
        <f>SUM(R104:R105)</f>
        <v>0</v>
      </c>
      <c r="S103" s="202">
        <f t="shared" si="37"/>
        <v>5</v>
      </c>
      <c r="T103" s="200">
        <f>AVERAGE(T104:T105)</f>
        <v>0.05</v>
      </c>
      <c r="U103" s="201">
        <f>SUM(U104:U105)</f>
        <v>2420000</v>
      </c>
      <c r="V103" s="202">
        <f t="shared" si="40"/>
        <v>20</v>
      </c>
      <c r="W103" s="203">
        <f>AVERAGE(W104:W105)</f>
        <v>0.25</v>
      </c>
      <c r="X103" s="201">
        <f>SUM(X104:X105)</f>
        <v>22525000</v>
      </c>
      <c r="Y103" s="202">
        <f>Z103*N103-P103-S103-V103</f>
        <v>20</v>
      </c>
      <c r="Z103" s="203">
        <f>AVERAGE(Z104:Z105)</f>
        <v>0.45</v>
      </c>
      <c r="AA103" s="201">
        <f>SUM(AA104:AA105)</f>
        <v>36551400</v>
      </c>
      <c r="AB103" s="213">
        <f t="shared" si="36"/>
        <v>45</v>
      </c>
      <c r="AC103" s="204">
        <f>SUM(AC104:AC105)</f>
        <v>61496400</v>
      </c>
      <c r="AD103" s="152">
        <f t="shared" si="27"/>
        <v>83</v>
      </c>
      <c r="AE103" s="152">
        <f t="shared" si="27"/>
        <v>322843300</v>
      </c>
      <c r="AF103" s="152">
        <f t="shared" si="32"/>
        <v>83</v>
      </c>
      <c r="AG103" s="244">
        <f t="shared" si="22"/>
        <v>91.930969750677605</v>
      </c>
    </row>
    <row r="104" spans="1:34" ht="98.25" customHeight="1" x14ac:dyDescent="0.25">
      <c r="A104" s="101">
        <v>94</v>
      </c>
      <c r="B104" s="102"/>
      <c r="C104" s="102"/>
      <c r="D104" s="177"/>
      <c r="E104" s="177"/>
      <c r="F104" s="157"/>
      <c r="G104" s="158" t="s">
        <v>234</v>
      </c>
      <c r="H104" s="158" t="s">
        <v>235</v>
      </c>
      <c r="I104" s="159" t="s">
        <v>56</v>
      </c>
      <c r="J104" s="160">
        <v>1</v>
      </c>
      <c r="K104" s="161">
        <v>326205064</v>
      </c>
      <c r="L104" s="162">
        <v>0.76</v>
      </c>
      <c r="M104" s="163">
        <v>261346900</v>
      </c>
      <c r="N104" s="235">
        <v>1</v>
      </c>
      <c r="O104" s="235">
        <v>155406562</v>
      </c>
      <c r="P104" s="327">
        <v>0</v>
      </c>
      <c r="Q104" s="267">
        <v>0</v>
      </c>
      <c r="R104" s="439">
        <v>0</v>
      </c>
      <c r="S104" s="327">
        <v>0</v>
      </c>
      <c r="T104" s="179">
        <v>0.1</v>
      </c>
      <c r="U104" s="169">
        <v>2420000</v>
      </c>
      <c r="V104" s="165">
        <v>0</v>
      </c>
      <c r="W104" s="170">
        <v>0.5</v>
      </c>
      <c r="X104" s="169">
        <v>22525000</v>
      </c>
      <c r="Y104" s="165">
        <f t="shared" ref="Y104:Y105" si="43">Z104*N104-P104-S104-V104</f>
        <v>0.9</v>
      </c>
      <c r="Z104" s="166">
        <v>0.9</v>
      </c>
      <c r="AA104" s="163">
        <v>36551400</v>
      </c>
      <c r="AB104" s="171">
        <f t="shared" si="36"/>
        <v>0.9</v>
      </c>
      <c r="AC104" s="172">
        <f>R104+U104+X104+AA104</f>
        <v>61496400</v>
      </c>
      <c r="AD104" s="173">
        <f t="shared" si="27"/>
        <v>1.6600000000000001</v>
      </c>
      <c r="AE104" s="173">
        <f t="shared" si="27"/>
        <v>322843300</v>
      </c>
      <c r="AF104" s="232">
        <f t="shared" si="32"/>
        <v>166</v>
      </c>
      <c r="AG104" s="232">
        <f t="shared" si="22"/>
        <v>98.969432307770674</v>
      </c>
      <c r="AH104" s="187">
        <f>AA104-R104-U104-X104</f>
        <v>11606400</v>
      </c>
    </row>
    <row r="105" spans="1:34" ht="60" customHeight="1" x14ac:dyDescent="0.25">
      <c r="A105" s="76">
        <v>95</v>
      </c>
      <c r="B105" s="440"/>
      <c r="C105" s="440"/>
      <c r="D105" s="156"/>
      <c r="E105" s="156"/>
      <c r="F105" s="157"/>
      <c r="G105" s="158" t="s">
        <v>236</v>
      </c>
      <c r="H105" s="158" t="s">
        <v>237</v>
      </c>
      <c r="I105" s="159" t="s">
        <v>56</v>
      </c>
      <c r="J105" s="160">
        <v>1</v>
      </c>
      <c r="K105" s="161">
        <v>24975067</v>
      </c>
      <c r="L105" s="218">
        <v>0</v>
      </c>
      <c r="M105" s="237">
        <v>0</v>
      </c>
      <c r="N105" s="235">
        <v>1</v>
      </c>
      <c r="O105" s="235">
        <v>0</v>
      </c>
      <c r="P105" s="216">
        <f t="shared" si="39"/>
        <v>0</v>
      </c>
      <c r="Q105" s="267">
        <v>0</v>
      </c>
      <c r="R105" s="439">
        <v>0</v>
      </c>
      <c r="S105" s="327">
        <f t="shared" si="37"/>
        <v>0</v>
      </c>
      <c r="T105" s="179">
        <v>0</v>
      </c>
      <c r="U105" s="169">
        <v>0</v>
      </c>
      <c r="V105" s="165">
        <f t="shared" si="40"/>
        <v>0</v>
      </c>
      <c r="W105" s="170">
        <v>0</v>
      </c>
      <c r="X105" s="169">
        <v>0</v>
      </c>
      <c r="Y105" s="218">
        <f t="shared" si="43"/>
        <v>0</v>
      </c>
      <c r="Z105" s="166">
        <v>0</v>
      </c>
      <c r="AA105" s="180">
        <v>0</v>
      </c>
      <c r="AB105" s="219">
        <f t="shared" si="36"/>
        <v>0</v>
      </c>
      <c r="AC105" s="441">
        <f>R105+U105+X105+AA105</f>
        <v>0</v>
      </c>
      <c r="AD105" s="220">
        <f t="shared" si="27"/>
        <v>0</v>
      </c>
      <c r="AE105" s="220">
        <f t="shared" si="27"/>
        <v>0</v>
      </c>
      <c r="AF105" s="220">
        <f t="shared" si="32"/>
        <v>0</v>
      </c>
      <c r="AG105" s="220">
        <f t="shared" si="22"/>
        <v>0</v>
      </c>
      <c r="AH105" s="16"/>
    </row>
    <row r="106" spans="1:34" ht="42.75" hidden="1" customHeight="1" x14ac:dyDescent="0.25">
      <c r="A106" s="442">
        <f ca="1">+A106:QE106:AC107</f>
        <v>0</v>
      </c>
      <c r="B106" s="443"/>
      <c r="C106" s="443"/>
      <c r="D106" s="443"/>
      <c r="E106" s="443"/>
      <c r="F106" s="444"/>
      <c r="G106" s="445" t="s">
        <v>238</v>
      </c>
      <c r="H106" s="405" t="s">
        <v>239</v>
      </c>
      <c r="I106" s="446" t="s">
        <v>28</v>
      </c>
      <c r="J106" s="407">
        <v>100</v>
      </c>
      <c r="K106" s="447">
        <v>1173117699</v>
      </c>
      <c r="L106" s="448">
        <v>0</v>
      </c>
      <c r="M106" s="448">
        <v>0</v>
      </c>
      <c r="N106" s="448">
        <v>0</v>
      </c>
      <c r="O106" s="448">
        <v>0</v>
      </c>
      <c r="P106" s="448">
        <v>0</v>
      </c>
      <c r="Q106" s="448">
        <v>0</v>
      </c>
      <c r="R106" s="448">
        <v>0</v>
      </c>
      <c r="S106" s="448">
        <v>0</v>
      </c>
      <c r="T106" s="448">
        <v>0</v>
      </c>
      <c r="U106" s="448">
        <v>0</v>
      </c>
      <c r="V106" s="448">
        <v>0</v>
      </c>
      <c r="W106" s="448">
        <v>0</v>
      </c>
      <c r="X106" s="448">
        <v>0</v>
      </c>
      <c r="Y106" s="448">
        <v>0</v>
      </c>
      <c r="Z106" s="448">
        <v>0</v>
      </c>
      <c r="AA106" s="448">
        <v>0</v>
      </c>
      <c r="AB106" s="448">
        <v>0</v>
      </c>
      <c r="AC106" s="448">
        <v>0</v>
      </c>
      <c r="AD106" s="448">
        <v>0</v>
      </c>
      <c r="AE106" s="448">
        <v>0</v>
      </c>
      <c r="AF106" s="448">
        <v>0</v>
      </c>
      <c r="AG106" s="448">
        <v>0</v>
      </c>
      <c r="AH106" s="16"/>
    </row>
    <row r="107" spans="1:34" ht="39" hidden="1" customHeight="1" x14ac:dyDescent="0.25">
      <c r="A107" s="442"/>
      <c r="B107" s="443"/>
      <c r="C107" s="443"/>
      <c r="D107" s="443"/>
      <c r="E107" s="443"/>
      <c r="F107" s="444"/>
      <c r="G107" s="449"/>
      <c r="H107" s="405" t="s">
        <v>240</v>
      </c>
      <c r="I107" s="406" t="s">
        <v>40</v>
      </c>
      <c r="J107" s="407">
        <v>63</v>
      </c>
      <c r="K107" s="450"/>
      <c r="L107" s="448">
        <v>0</v>
      </c>
      <c r="M107" s="448">
        <v>0</v>
      </c>
      <c r="N107" s="448">
        <v>0</v>
      </c>
      <c r="O107" s="448">
        <v>0</v>
      </c>
      <c r="P107" s="448">
        <v>0</v>
      </c>
      <c r="Q107" s="448">
        <v>0</v>
      </c>
      <c r="R107" s="448">
        <v>0</v>
      </c>
      <c r="S107" s="448">
        <v>0</v>
      </c>
      <c r="T107" s="448">
        <v>0</v>
      </c>
      <c r="U107" s="448">
        <v>0</v>
      </c>
      <c r="V107" s="448">
        <v>0</v>
      </c>
      <c r="W107" s="448">
        <v>0</v>
      </c>
      <c r="X107" s="448">
        <v>0</v>
      </c>
      <c r="Y107" s="448">
        <v>0</v>
      </c>
      <c r="Z107" s="448">
        <v>0</v>
      </c>
      <c r="AA107" s="448">
        <v>0</v>
      </c>
      <c r="AB107" s="448">
        <v>0</v>
      </c>
      <c r="AC107" s="448">
        <v>0</v>
      </c>
      <c r="AD107" s="448">
        <v>0</v>
      </c>
      <c r="AE107" s="448">
        <v>0</v>
      </c>
      <c r="AF107" s="448">
        <v>0</v>
      </c>
      <c r="AG107" s="448">
        <v>0</v>
      </c>
      <c r="AH107" s="16"/>
    </row>
    <row r="108" spans="1:34" ht="77.25" hidden="1" customHeight="1" x14ac:dyDescent="0.25">
      <c r="A108" s="451"/>
      <c r="B108" s="452"/>
      <c r="C108" s="452"/>
      <c r="D108" s="452"/>
      <c r="E108" s="452"/>
      <c r="F108" s="453"/>
      <c r="G108" s="192" t="s">
        <v>241</v>
      </c>
      <c r="H108" s="192" t="s">
        <v>242</v>
      </c>
      <c r="I108" s="193" t="s">
        <v>28</v>
      </c>
      <c r="J108" s="194">
        <v>100</v>
      </c>
      <c r="K108" s="308">
        <f>K109</f>
        <v>821937568</v>
      </c>
      <c r="L108" s="454"/>
      <c r="M108" s="455"/>
      <c r="N108" s="456"/>
      <c r="O108" s="456"/>
      <c r="P108" s="457"/>
      <c r="Q108" s="458"/>
      <c r="R108" s="459"/>
      <c r="S108" s="460"/>
      <c r="T108" s="461"/>
      <c r="U108" s="462"/>
      <c r="V108" s="463"/>
      <c r="W108" s="464"/>
      <c r="X108" s="462"/>
      <c r="Y108" s="454"/>
      <c r="Z108" s="465"/>
      <c r="AA108" s="466"/>
      <c r="AB108" s="467"/>
      <c r="AC108" s="468"/>
      <c r="AD108" s="469"/>
      <c r="AE108" s="469"/>
      <c r="AF108" s="469"/>
      <c r="AG108" s="470"/>
      <c r="AH108" s="16"/>
    </row>
    <row r="109" spans="1:34" ht="109.5" hidden="1" customHeight="1" x14ac:dyDescent="0.25">
      <c r="A109" s="101"/>
      <c r="B109" s="471"/>
      <c r="C109" s="471"/>
      <c r="D109" s="471"/>
      <c r="E109" s="471"/>
      <c r="F109" s="472"/>
      <c r="G109" s="158" t="s">
        <v>243</v>
      </c>
      <c r="H109" s="158" t="s">
        <v>244</v>
      </c>
      <c r="I109" s="159" t="s">
        <v>56</v>
      </c>
      <c r="J109" s="160">
        <v>1</v>
      </c>
      <c r="K109" s="161">
        <v>821937568</v>
      </c>
      <c r="L109" s="218"/>
      <c r="M109" s="237"/>
      <c r="N109" s="235"/>
      <c r="O109" s="235"/>
      <c r="P109" s="216"/>
      <c r="Q109" s="350"/>
      <c r="R109" s="473"/>
      <c r="S109" s="327"/>
      <c r="T109" s="179"/>
      <c r="U109" s="169"/>
      <c r="V109" s="165"/>
      <c r="W109" s="170"/>
      <c r="X109" s="169"/>
      <c r="Y109" s="218"/>
      <c r="Z109" s="166"/>
      <c r="AA109" s="180"/>
      <c r="AB109" s="219"/>
      <c r="AC109" s="441"/>
      <c r="AD109" s="220"/>
      <c r="AE109" s="220"/>
      <c r="AF109" s="220"/>
      <c r="AG109" s="355"/>
      <c r="AH109" s="16"/>
    </row>
    <row r="110" spans="1:34" ht="60" hidden="1" customHeight="1" x14ac:dyDescent="0.25">
      <c r="A110" s="451"/>
      <c r="B110" s="452"/>
      <c r="C110" s="452"/>
      <c r="D110" s="452"/>
      <c r="E110" s="452"/>
      <c r="F110" s="453"/>
      <c r="G110" s="192" t="s">
        <v>245</v>
      </c>
      <c r="H110" s="192" t="s">
        <v>246</v>
      </c>
      <c r="I110" s="193" t="s">
        <v>28</v>
      </c>
      <c r="J110" s="194">
        <v>100</v>
      </c>
      <c r="K110" s="308">
        <f>SUM(K111:K112)</f>
        <v>351180131</v>
      </c>
      <c r="L110" s="454"/>
      <c r="M110" s="455"/>
      <c r="N110" s="456"/>
      <c r="O110" s="456"/>
      <c r="P110" s="457"/>
      <c r="Q110" s="458"/>
      <c r="R110" s="459"/>
      <c r="S110" s="460"/>
      <c r="T110" s="461"/>
      <c r="U110" s="462"/>
      <c r="V110" s="463"/>
      <c r="W110" s="464"/>
      <c r="X110" s="462"/>
      <c r="Y110" s="454"/>
      <c r="Z110" s="465"/>
      <c r="AA110" s="466"/>
      <c r="AB110" s="467"/>
      <c r="AC110" s="468"/>
      <c r="AD110" s="469"/>
      <c r="AE110" s="469"/>
      <c r="AF110" s="469"/>
      <c r="AG110" s="470"/>
      <c r="AH110" s="16"/>
    </row>
    <row r="111" spans="1:34" s="16" customFormat="1" ht="60" hidden="1" customHeight="1" x14ac:dyDescent="0.25">
      <c r="A111" s="474"/>
      <c r="B111" s="475"/>
      <c r="C111" s="475"/>
      <c r="D111" s="475"/>
      <c r="E111" s="475"/>
      <c r="F111" s="472"/>
      <c r="G111" s="158" t="s">
        <v>247</v>
      </c>
      <c r="H111" s="158" t="s">
        <v>248</v>
      </c>
      <c r="I111" s="159" t="s">
        <v>56</v>
      </c>
      <c r="J111" s="160">
        <v>1</v>
      </c>
      <c r="K111" s="161">
        <v>24975067</v>
      </c>
      <c r="L111" s="218"/>
      <c r="M111" s="237"/>
      <c r="N111" s="184"/>
      <c r="O111" s="184"/>
      <c r="P111" s="216"/>
      <c r="Q111" s="350"/>
      <c r="R111" s="473"/>
      <c r="S111" s="327"/>
      <c r="T111" s="179"/>
      <c r="U111" s="169"/>
      <c r="V111" s="165"/>
      <c r="W111" s="170"/>
      <c r="X111" s="169"/>
      <c r="Y111" s="218"/>
      <c r="Z111" s="166"/>
      <c r="AA111" s="180"/>
      <c r="AB111" s="219"/>
      <c r="AC111" s="441"/>
      <c r="AD111" s="220"/>
      <c r="AE111" s="220"/>
      <c r="AF111" s="220"/>
      <c r="AG111" s="355"/>
    </row>
    <row r="112" spans="1:34" ht="63.75" hidden="1" x14ac:dyDescent="0.25">
      <c r="A112" s="476"/>
      <c r="B112" s="477"/>
      <c r="C112" s="477"/>
      <c r="D112" s="477"/>
      <c r="E112" s="477"/>
      <c r="F112" s="478"/>
      <c r="G112" s="158" t="s">
        <v>249</v>
      </c>
      <c r="H112" s="158" t="s">
        <v>250</v>
      </c>
      <c r="I112" s="159" t="s">
        <v>56</v>
      </c>
      <c r="J112" s="479">
        <v>1</v>
      </c>
      <c r="K112" s="480">
        <v>326205064</v>
      </c>
      <c r="L112" s="481"/>
      <c r="M112" s="482"/>
      <c r="N112" s="483"/>
      <c r="O112" s="483"/>
      <c r="P112" s="484"/>
      <c r="Q112" s="485"/>
      <c r="R112" s="482"/>
      <c r="S112" s="486"/>
      <c r="T112" s="487"/>
      <c r="U112" s="488"/>
      <c r="V112" s="165"/>
      <c r="W112" s="295"/>
      <c r="X112" s="489"/>
      <c r="Y112" s="219"/>
      <c r="Z112" s="490"/>
      <c r="AA112" s="219"/>
      <c r="AB112" s="219"/>
      <c r="AC112" s="184"/>
      <c r="AD112" s="173"/>
      <c r="AE112" s="173"/>
      <c r="AF112" s="173"/>
      <c r="AG112" s="491"/>
      <c r="AH112" s="16"/>
    </row>
    <row r="113" spans="1:34" ht="16.5" x14ac:dyDescent="0.25">
      <c r="A113" s="492" t="s">
        <v>29</v>
      </c>
      <c r="B113" s="493"/>
      <c r="C113" s="493"/>
      <c r="D113" s="493"/>
      <c r="E113" s="493"/>
      <c r="F113" s="494"/>
      <c r="G113" s="495"/>
      <c r="H113" s="495"/>
      <c r="I113" s="496"/>
      <c r="J113" s="497"/>
      <c r="K113" s="498">
        <f>SUM(K12+K91+K96)</f>
        <v>19869930990</v>
      </c>
      <c r="L113" s="499"/>
      <c r="M113" s="498">
        <f>SUM(M12+M91+M96)</f>
        <v>11959663305</v>
      </c>
      <c r="N113" s="498"/>
      <c r="O113" s="498">
        <f>SUM(O12+O91+O96)</f>
        <v>14723660349</v>
      </c>
      <c r="P113" s="500"/>
      <c r="Q113" s="501"/>
      <c r="R113" s="502">
        <f>SUM(R12+R91+R96)</f>
        <v>2004106779</v>
      </c>
      <c r="S113" s="503"/>
      <c r="T113" s="501"/>
      <c r="U113" s="504">
        <f>SUM(U12+U91+U96)</f>
        <v>2286043325</v>
      </c>
      <c r="V113" s="505"/>
      <c r="W113" s="506"/>
      <c r="X113" s="504">
        <f>SUM(X12+X91+X96)</f>
        <v>2759455579</v>
      </c>
      <c r="Y113" s="507"/>
      <c r="Z113" s="508"/>
      <c r="AA113" s="498">
        <f>SUM(AA12+AA91+AA96)</f>
        <v>5079357490</v>
      </c>
      <c r="AB113" s="507"/>
      <c r="AC113" s="504">
        <f>SUM(AC12+AC91+AC96)</f>
        <v>12023973159</v>
      </c>
      <c r="AD113" s="509"/>
      <c r="AE113" s="504">
        <f>SUM(AE12+AE91+AE96)</f>
        <v>23983636464</v>
      </c>
      <c r="AF113" s="509"/>
      <c r="AG113" s="510">
        <f>AE113/K113*100</f>
        <v>120.70316940743437</v>
      </c>
      <c r="AH113" s="16"/>
    </row>
    <row r="114" spans="1:34" ht="16.5" x14ac:dyDescent="0.25">
      <c r="A114" s="511"/>
      <c r="B114" s="4"/>
      <c r="C114" s="4"/>
      <c r="D114" s="4"/>
      <c r="E114" s="4"/>
      <c r="F114" s="4"/>
      <c r="G114" s="512"/>
      <c r="H114" s="512"/>
      <c r="I114" s="512"/>
      <c r="J114" s="512"/>
      <c r="K114" s="513"/>
      <c r="L114" s="514"/>
      <c r="M114" s="515"/>
      <c r="N114" s="512"/>
      <c r="O114" s="513"/>
      <c r="P114" s="512"/>
      <c r="Q114" s="516"/>
      <c r="R114" s="517"/>
      <c r="S114" s="518"/>
      <c r="T114" s="519"/>
      <c r="U114" s="513"/>
      <c r="V114" s="520"/>
      <c r="W114" s="521"/>
      <c r="X114" s="522"/>
      <c r="Y114" s="512"/>
      <c r="Z114" s="523"/>
      <c r="AA114" s="512"/>
      <c r="AB114" s="4"/>
      <c r="AC114" s="524"/>
      <c r="AD114" s="525"/>
      <c r="AE114" s="525"/>
      <c r="AF114" s="525"/>
      <c r="AG114" s="525"/>
    </row>
    <row r="115" spans="1:34" ht="16.5" x14ac:dyDescent="0.25">
      <c r="A115" s="4"/>
      <c r="B115" s="4"/>
      <c r="C115" s="4"/>
      <c r="D115" s="4"/>
      <c r="E115" s="4"/>
      <c r="F115" s="4"/>
      <c r="G115" s="512"/>
      <c r="H115" s="512"/>
      <c r="I115" s="512"/>
      <c r="J115" s="512"/>
      <c r="K115" s="513"/>
      <c r="L115" s="514"/>
      <c r="M115" s="515"/>
      <c r="N115" s="512"/>
      <c r="O115" s="513"/>
      <c r="P115" s="512"/>
      <c r="Q115" s="516"/>
      <c r="R115" s="517"/>
      <c r="S115" s="518"/>
      <c r="T115" s="519"/>
      <c r="U115" s="513"/>
      <c r="V115" s="520"/>
      <c r="W115" s="521"/>
      <c r="X115" s="522"/>
      <c r="Y115" s="512"/>
      <c r="Z115" s="523"/>
      <c r="AA115" s="512"/>
      <c r="AB115" s="4"/>
      <c r="AC115" s="524"/>
      <c r="AD115" s="525"/>
      <c r="AE115" s="525"/>
      <c r="AF115" s="525"/>
      <c r="AG115" s="525"/>
    </row>
    <row r="116" spans="1:34" ht="20.25" x14ac:dyDescent="0.25">
      <c r="A116" s="3"/>
      <c r="B116" s="3"/>
      <c r="C116" s="3"/>
      <c r="D116" s="3"/>
      <c r="E116" s="3"/>
      <c r="F116" s="3"/>
      <c r="G116" s="513"/>
      <c r="H116" s="512"/>
      <c r="I116" s="526"/>
      <c r="J116" s="526"/>
      <c r="K116" s="527"/>
      <c r="L116" s="514"/>
      <c r="M116" s="515"/>
      <c r="N116" s="526"/>
      <c r="O116" s="527"/>
      <c r="P116" s="526"/>
      <c r="Q116" s="528"/>
      <c r="R116" s="529"/>
      <c r="S116" s="10"/>
      <c r="T116" s="8"/>
      <c r="U116" s="527"/>
      <c r="V116" s="520"/>
      <c r="W116" s="530"/>
      <c r="X116" s="531" t="s">
        <v>251</v>
      </c>
      <c r="Y116" s="531"/>
      <c r="Z116" s="531"/>
      <c r="AA116" s="531"/>
      <c r="AB116" s="532"/>
      <c r="AC116" s="531"/>
      <c r="AD116" s="531"/>
      <c r="AE116" s="531"/>
      <c r="AG116" s="525"/>
    </row>
    <row r="117" spans="1:34" ht="16.5" x14ac:dyDescent="0.25">
      <c r="A117" s="3"/>
      <c r="B117" s="3"/>
      <c r="C117" s="3"/>
      <c r="D117" s="3"/>
      <c r="E117" s="3"/>
      <c r="F117" s="3"/>
      <c r="G117" s="512"/>
      <c r="H117" s="512"/>
      <c r="I117" s="526"/>
      <c r="J117" s="526"/>
      <c r="K117" s="527"/>
      <c r="L117" s="514"/>
      <c r="M117" s="515"/>
      <c r="N117" s="526"/>
      <c r="O117" s="527"/>
      <c r="P117" s="526"/>
      <c r="Q117" s="528"/>
      <c r="R117" s="534"/>
      <c r="S117" s="10"/>
      <c r="T117" s="8"/>
      <c r="U117" s="527"/>
      <c r="V117" s="520"/>
      <c r="W117" s="530"/>
      <c r="X117" s="522"/>
      <c r="Y117" s="535"/>
      <c r="Z117" s="535"/>
      <c r="AA117" s="535"/>
      <c r="AB117" s="535"/>
      <c r="AC117" s="535"/>
      <c r="AD117" s="535"/>
      <c r="AE117" s="535"/>
      <c r="AF117" s="535"/>
      <c r="AG117" s="525"/>
    </row>
    <row r="118" spans="1:34" ht="20.25" x14ac:dyDescent="0.25">
      <c r="A118" s="3"/>
      <c r="B118" s="3"/>
      <c r="C118" s="3"/>
      <c r="D118" s="3"/>
      <c r="E118" s="3"/>
      <c r="F118" s="3"/>
      <c r="G118" s="512"/>
      <c r="H118" s="512"/>
      <c r="I118" s="526"/>
      <c r="J118" s="526"/>
      <c r="K118" s="527"/>
      <c r="L118" s="514"/>
      <c r="M118" s="515"/>
      <c r="N118" s="526"/>
      <c r="O118" s="527"/>
      <c r="P118" s="526"/>
      <c r="Q118" s="528"/>
      <c r="R118" s="534"/>
      <c r="S118" s="10"/>
      <c r="T118" s="8"/>
      <c r="U118" s="527"/>
      <c r="V118" s="520"/>
      <c r="W118" s="530"/>
      <c r="X118" s="536" t="s">
        <v>252</v>
      </c>
      <c r="Y118" s="536"/>
      <c r="Z118" s="536"/>
      <c r="AA118" s="536"/>
      <c r="AB118" s="536"/>
      <c r="AC118" s="536"/>
      <c r="AD118" s="536"/>
      <c r="AE118" s="536"/>
      <c r="AF118" s="536"/>
      <c r="AG118" s="525"/>
    </row>
    <row r="119" spans="1:34" ht="20.25" x14ac:dyDescent="0.25">
      <c r="A119" s="3"/>
      <c r="B119" s="3"/>
      <c r="C119" s="3"/>
      <c r="D119" s="3"/>
      <c r="E119" s="3"/>
      <c r="F119" s="3"/>
      <c r="G119" s="512"/>
      <c r="H119" s="513"/>
      <c r="I119" s="526"/>
      <c r="J119" s="526"/>
      <c r="K119" s="527"/>
      <c r="L119" s="514"/>
      <c r="M119" s="515"/>
      <c r="N119" s="526"/>
      <c r="O119" s="527"/>
      <c r="P119" s="526"/>
      <c r="Q119" s="528"/>
      <c r="R119" s="537"/>
      <c r="S119" s="10"/>
      <c r="T119" s="8"/>
      <c r="U119" s="527"/>
      <c r="V119" s="520"/>
      <c r="W119" s="530"/>
      <c r="X119" s="536" t="s">
        <v>253</v>
      </c>
      <c r="Y119" s="536"/>
      <c r="Z119" s="536"/>
      <c r="AA119" s="536"/>
      <c r="AB119" s="536"/>
      <c r="AC119" s="536"/>
      <c r="AD119" s="536"/>
      <c r="AE119" s="536"/>
      <c r="AF119" s="536"/>
      <c r="AG119" s="538"/>
    </row>
    <row r="120" spans="1:34" ht="22.5" customHeight="1" x14ac:dyDescent="0.25">
      <c r="A120" s="3"/>
      <c r="B120" s="3"/>
      <c r="C120" s="3"/>
      <c r="D120" s="3"/>
      <c r="E120" s="3"/>
      <c r="F120" s="3"/>
      <c r="G120" s="512"/>
      <c r="H120" s="512"/>
      <c r="I120" s="526"/>
      <c r="J120" s="526"/>
      <c r="K120" s="527"/>
      <c r="L120" s="514"/>
      <c r="M120" s="515"/>
      <c r="N120" s="526"/>
      <c r="O120" s="527"/>
      <c r="P120" s="526"/>
      <c r="Q120" s="528"/>
      <c r="R120" s="534"/>
      <c r="S120" s="10"/>
      <c r="T120" s="8"/>
      <c r="U120" s="527"/>
      <c r="V120" s="520"/>
      <c r="W120" s="530"/>
      <c r="X120" s="539" t="s">
        <v>254</v>
      </c>
      <c r="Y120" s="539"/>
      <c r="Z120" s="539"/>
      <c r="AA120" s="539"/>
      <c r="AB120" s="539"/>
      <c r="AC120" s="539"/>
      <c r="AD120" s="539"/>
      <c r="AE120" s="539"/>
      <c r="AF120" s="539"/>
      <c r="AG120" s="525"/>
    </row>
    <row r="121" spans="1:34" ht="22.5" x14ac:dyDescent="0.25">
      <c r="A121" s="3"/>
      <c r="B121" s="3"/>
      <c r="C121" s="3"/>
      <c r="D121" s="3"/>
      <c r="E121" s="3"/>
      <c r="F121" s="3"/>
      <c r="G121" s="512"/>
      <c r="H121" s="512"/>
      <c r="I121" s="526"/>
      <c r="J121" s="526"/>
      <c r="K121" s="527"/>
      <c r="L121" s="514"/>
      <c r="M121" s="515"/>
      <c r="N121" s="526"/>
      <c r="O121" s="513"/>
      <c r="P121" s="526"/>
      <c r="Q121" s="528"/>
      <c r="R121" s="534"/>
      <c r="S121" s="10"/>
      <c r="T121" s="8"/>
      <c r="U121" s="527"/>
      <c r="V121" s="520"/>
      <c r="W121" s="530"/>
      <c r="X121" s="527"/>
      <c r="Y121" s="526"/>
      <c r="Z121" s="530"/>
      <c r="AA121" s="526"/>
      <c r="AB121" s="540"/>
      <c r="AC121" s="540"/>
      <c r="AD121" s="541"/>
      <c r="AE121" s="541"/>
      <c r="AF121" s="526"/>
      <c r="AG121" s="525"/>
    </row>
    <row r="122" spans="1:34" ht="22.5" x14ac:dyDescent="0.25">
      <c r="A122" s="3"/>
      <c r="B122" s="3"/>
      <c r="C122" s="3"/>
      <c r="D122" s="3"/>
      <c r="E122" s="3"/>
      <c r="F122" s="3"/>
      <c r="G122" s="512"/>
      <c r="H122" s="512"/>
      <c r="I122" s="526"/>
      <c r="J122" s="526"/>
      <c r="K122" s="527"/>
      <c r="L122" s="514"/>
      <c r="M122" s="515"/>
      <c r="N122" s="526"/>
      <c r="O122" s="527"/>
      <c r="P122" s="526"/>
      <c r="Q122" s="528"/>
      <c r="R122" s="534"/>
      <c r="S122" s="10"/>
      <c r="T122" s="8"/>
      <c r="U122" s="527"/>
      <c r="V122" s="520"/>
      <c r="W122" s="530"/>
      <c r="X122" s="527"/>
      <c r="Y122" s="526"/>
      <c r="Z122" s="530"/>
      <c r="AA122" s="526"/>
      <c r="AB122" s="540"/>
      <c r="AC122" s="540"/>
      <c r="AD122" s="541"/>
      <c r="AE122" s="541"/>
      <c r="AF122" s="526"/>
      <c r="AG122" s="525"/>
    </row>
    <row r="123" spans="1:34" ht="20.25" x14ac:dyDescent="0.25">
      <c r="A123" s="3"/>
      <c r="B123" s="3"/>
      <c r="C123" s="3"/>
      <c r="D123" s="3"/>
      <c r="E123" s="3"/>
      <c r="F123" s="3"/>
      <c r="G123" s="512"/>
      <c r="H123" s="512"/>
      <c r="I123" s="526"/>
      <c r="J123" s="526"/>
      <c r="K123" s="527"/>
      <c r="L123" s="514"/>
      <c r="M123" s="515"/>
      <c r="N123" s="526"/>
      <c r="O123" s="527"/>
      <c r="P123" s="526"/>
      <c r="Q123" s="528"/>
      <c r="R123" s="534"/>
      <c r="S123" s="10" t="s">
        <v>255</v>
      </c>
      <c r="T123" s="8"/>
      <c r="U123" s="527"/>
      <c r="V123" s="520"/>
      <c r="W123" s="530"/>
      <c r="X123" s="536" t="s">
        <v>256</v>
      </c>
      <c r="Y123" s="536"/>
      <c r="Z123" s="536"/>
      <c r="AA123" s="536"/>
      <c r="AB123" s="536"/>
      <c r="AC123" s="536"/>
      <c r="AD123" s="536"/>
      <c r="AE123" s="536"/>
      <c r="AF123" s="536"/>
      <c r="AG123" s="525"/>
    </row>
    <row r="124" spans="1:34" ht="20.25" x14ac:dyDescent="0.25">
      <c r="A124" s="3"/>
      <c r="B124" s="3"/>
      <c r="C124" s="3"/>
      <c r="D124" s="3"/>
      <c r="E124" s="3"/>
      <c r="F124" s="3"/>
      <c r="G124" s="512"/>
      <c r="H124" s="512"/>
      <c r="I124" s="526"/>
      <c r="J124" s="526"/>
      <c r="K124" s="527"/>
      <c r="L124" s="514"/>
      <c r="M124" s="515"/>
      <c r="N124" s="526"/>
      <c r="O124" s="527"/>
      <c r="P124" s="526"/>
      <c r="Q124" s="528"/>
      <c r="R124" s="534"/>
      <c r="S124" s="10"/>
      <c r="T124" s="8"/>
      <c r="U124" s="527"/>
      <c r="V124" s="520"/>
      <c r="W124" s="530"/>
      <c r="X124" s="536" t="s">
        <v>257</v>
      </c>
      <c r="Y124" s="536"/>
      <c r="Z124" s="536"/>
      <c r="AA124" s="536"/>
      <c r="AB124" s="536"/>
      <c r="AC124" s="536"/>
      <c r="AD124" s="536"/>
      <c r="AE124" s="536"/>
      <c r="AF124" s="536"/>
      <c r="AG124" s="525"/>
    </row>
    <row r="125" spans="1:34" ht="20.25" x14ac:dyDescent="0.25">
      <c r="A125" s="3"/>
      <c r="B125" s="3"/>
      <c r="C125" s="3"/>
      <c r="D125" s="3"/>
      <c r="E125" s="3"/>
      <c r="F125" s="3"/>
      <c r="G125" s="512"/>
      <c r="H125" s="512"/>
      <c r="I125" s="526"/>
      <c r="J125" s="526"/>
      <c r="K125" s="527"/>
      <c r="L125" s="514"/>
      <c r="M125" s="515"/>
      <c r="N125" s="526"/>
      <c r="O125" s="527"/>
      <c r="P125" s="526"/>
      <c r="Q125" s="528"/>
      <c r="R125" s="534"/>
      <c r="S125" s="10"/>
      <c r="T125" s="8"/>
      <c r="U125" s="527"/>
      <c r="V125" s="520"/>
      <c r="W125" s="530"/>
      <c r="X125" s="536" t="s">
        <v>258</v>
      </c>
      <c r="Y125" s="536"/>
      <c r="Z125" s="536"/>
      <c r="AA125" s="536"/>
      <c r="AB125" s="536"/>
      <c r="AC125" s="536"/>
      <c r="AD125" s="536"/>
      <c r="AE125" s="536"/>
      <c r="AF125" s="536"/>
      <c r="AG125" s="525"/>
    </row>
  </sheetData>
  <mergeCells count="46">
    <mergeCell ref="X123:AF123"/>
    <mergeCell ref="X124:AF124"/>
    <mergeCell ref="X125:AF125"/>
    <mergeCell ref="G106:G107"/>
    <mergeCell ref="K106:K107"/>
    <mergeCell ref="Y117:AF117"/>
    <mergeCell ref="X118:AF118"/>
    <mergeCell ref="X119:AF119"/>
    <mergeCell ref="X120:AF120"/>
    <mergeCell ref="AB8:AC8"/>
    <mergeCell ref="AD8:AE8"/>
    <mergeCell ref="AF8:AG8"/>
    <mergeCell ref="B11:B105"/>
    <mergeCell ref="C11:C105"/>
    <mergeCell ref="G11:H11"/>
    <mergeCell ref="L8:M8"/>
    <mergeCell ref="N8:O8"/>
    <mergeCell ref="P8:R8"/>
    <mergeCell ref="S8:U8"/>
    <mergeCell ref="V8:X8"/>
    <mergeCell ref="Y8:AA8"/>
    <mergeCell ref="A8:A9"/>
    <mergeCell ref="F8:F9"/>
    <mergeCell ref="G8:G9"/>
    <mergeCell ref="H8:H9"/>
    <mergeCell ref="I8:I9"/>
    <mergeCell ref="J8:K8"/>
    <mergeCell ref="N6:O7"/>
    <mergeCell ref="P6:AA6"/>
    <mergeCell ref="AB6:AC7"/>
    <mergeCell ref="AD6:AE7"/>
    <mergeCell ref="AF6:AG7"/>
    <mergeCell ref="P7:R7"/>
    <mergeCell ref="S7:U7"/>
    <mergeCell ref="V7:X7"/>
    <mergeCell ref="Y7:AA7"/>
    <mergeCell ref="A1:AG1"/>
    <mergeCell ref="A2:AG2"/>
    <mergeCell ref="A3:AG3"/>
    <mergeCell ref="A6:A7"/>
    <mergeCell ref="F6:F7"/>
    <mergeCell ref="G6:G7"/>
    <mergeCell ref="H6:H7"/>
    <mergeCell ref="I6:I7"/>
    <mergeCell ref="J6:K7"/>
    <mergeCell ref="L6:M7"/>
  </mergeCells>
  <pageMargins left="0.59055118110236227" right="0.19685039370078741" top="0.39370078740157483" bottom="0.39370078740157483" header="0.31496062992125984" footer="0.31496062992125984"/>
  <pageSetup paperSize="8" scale="50" orientation="landscape" horizontalDpi="300" verticalDpi="300" r:id="rId1"/>
  <rowBreaks count="4" manualBreakCount="4">
    <brk id="27" max="16383" man="1"/>
    <brk id="52" max="16383" man="1"/>
    <brk id="72" max="16383" man="1"/>
    <brk id="90" max="16383" man="1"/>
  </rowBreaks>
  <colBreaks count="1" manualBreakCount="1">
    <brk id="33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Realisasi TW IV</vt:lpstr>
      <vt:lpstr>'Realisasi TW IV'!Print_Titles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Risma Sinurat</dc:creator>
  <cp:lastModifiedBy>Risma Sinurat</cp:lastModifiedBy>
  <dcterms:created xsi:type="dcterms:W3CDTF">2026-05-05T07:50:14Z</dcterms:created>
  <dcterms:modified xsi:type="dcterms:W3CDTF">2026-05-05T07:51:03Z</dcterms:modified>
</cp:coreProperties>
</file>